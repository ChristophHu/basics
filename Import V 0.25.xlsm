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27700a770ad403f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ce7f4c56066404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8625" codeName="{EAAD5824-E589-9196-6FC8-2F1B51211585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d.docs.live.net/9b459f2a8740a68c/Dienst/Projekte/ET/"/>
    </mc:Choice>
  </mc:AlternateContent>
  <xr:revisionPtr revIDLastSave="25" documentId="8_{1A50ACB7-BFEC-4A6A-97CF-C4FD75EE06BD}" xr6:coauthVersionLast="24" xr6:coauthVersionMax="24" xr10:uidLastSave="{25E1FDC7-AD4B-49E4-B4F2-1B1F7FC18985}"/>
  <bookViews>
    <workbookView xWindow="0" yWindow="0" windowWidth="17520" windowHeight="7965" tabRatio="782" firstSheet="8" activeTab="11" xr2:uid="{00000000-000D-0000-FFFF-FFFF00000000}"/>
  </bookViews>
  <sheets>
    <sheet name="Info" sheetId="52" r:id="rId1"/>
    <sheet name="Dir E - Meldung L Dir" sheetId="157" r:id="rId2"/>
    <sheet name="Katalog" sheetId="121" state="hidden" r:id="rId3"/>
    <sheet name="Dir E - Jahreserfassung" sheetId="164" state="hidden" r:id="rId4"/>
    <sheet name="Dir E - Zielgruppen" sheetId="170" state="hidden" r:id="rId5"/>
    <sheet name="Dir E - Schießen" sheetId="138" state="hidden" r:id="rId6"/>
    <sheet name="Dir E - MuschVO, adV, etc." sheetId="137" state="hidden" r:id="rId7"/>
    <sheet name="Dir E - monatl. Vorbereitung" sheetId="166" state="hidden" r:id="rId8"/>
    <sheet name="Dir E Gef" sheetId="190" r:id="rId9"/>
    <sheet name="Dir E WSP" sheetId="193" r:id="rId10"/>
    <sheet name="Dir E ZOS" sheetId="194" r:id="rId11"/>
    <sheet name="Dir E - Meldung an L Dir" sheetId="198" r:id="rId12"/>
  </sheets>
  <functionGroups builtInGroupCount="19"/>
  <externalReferences>
    <externalReference r:id="rId13"/>
  </externalReferences>
  <definedNames>
    <definedName name="_xlnm._FilterDatabase" localSheetId="8" hidden="1">'Dir E Gef'!$C$8:$AN$8</definedName>
    <definedName name="_xlnm._FilterDatabase" localSheetId="9" hidden="1">'Dir E WSP'!$C$8:$AN$8</definedName>
    <definedName name="_xlnm._FilterDatabase" localSheetId="10" hidden="1">'Dir E ZOS'!$C$8:$AN$8</definedName>
    <definedName name="ErfassungLKAQA">'[1]Konzeptionen gem. LKA St 12'!$B:$V</definedName>
    <definedName name="ErfassungVSAQA">'[1]Konzeptionen gem. PPr St II 4'!$B:$V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198" l="1"/>
  <c r="H10" i="198"/>
  <c r="H9" i="198"/>
  <c r="H8" i="198"/>
  <c r="H7" i="198"/>
  <c r="H6" i="198"/>
  <c r="G11" i="198"/>
  <c r="G10" i="198"/>
  <c r="G9" i="198"/>
  <c r="G8" i="198"/>
  <c r="G7" i="198"/>
  <c r="G6" i="198"/>
  <c r="F11" i="198"/>
  <c r="F10" i="198"/>
  <c r="F9" i="198"/>
  <c r="F8" i="198"/>
  <c r="F7" i="198"/>
  <c r="F6" i="198"/>
  <c r="F29" i="198"/>
  <c r="G30" i="198"/>
  <c r="F28" i="198"/>
  <c r="G29" i="198"/>
  <c r="H30" i="198"/>
  <c r="G28" i="198"/>
  <c r="H29" i="198"/>
  <c r="H28" i="198"/>
  <c r="F30" i="198"/>
  <c r="H23" i="198"/>
  <c r="F25" i="198"/>
  <c r="F23" i="198"/>
  <c r="H25" i="198"/>
  <c r="H24" i="198"/>
  <c r="F24" i="198"/>
  <c r="G25" i="198"/>
  <c r="G24" i="198"/>
  <c r="G23" i="198"/>
  <c r="F19" i="198"/>
  <c r="G20" i="198"/>
  <c r="F18" i="198"/>
  <c r="G19" i="198"/>
  <c r="H20" i="198"/>
  <c r="G18" i="198"/>
  <c r="H19" i="198"/>
  <c r="H18" i="198"/>
  <c r="F20" i="198"/>
  <c r="F13" i="198"/>
  <c r="G14" i="198"/>
  <c r="H15" i="198"/>
  <c r="H14" i="198"/>
  <c r="F15" i="198"/>
  <c r="F14" i="198"/>
  <c r="G15" i="198"/>
  <c r="G13" i="198"/>
  <c r="H13" i="198"/>
  <c r="H31" i="198" l="1"/>
  <c r="H32" i="198" s="1"/>
  <c r="G31" i="198"/>
  <c r="G32" i="198" s="1"/>
  <c r="F31" i="198"/>
  <c r="F32" i="198" s="1"/>
  <c r="G26" i="198"/>
  <c r="G27" i="198" s="1"/>
  <c r="F26" i="198"/>
  <c r="F27" i="198" s="1"/>
  <c r="H26" i="198"/>
  <c r="H27" i="198" s="1"/>
  <c r="H21" i="198"/>
  <c r="H22" i="198" s="1"/>
  <c r="G21" i="198"/>
  <c r="G22" i="198" s="1"/>
  <c r="F21" i="198"/>
  <c r="F22" i="198" s="1"/>
  <c r="H16" i="198"/>
  <c r="H17" i="198" s="1"/>
  <c r="G16" i="198"/>
  <c r="G17" i="198" s="1"/>
  <c r="F16" i="198"/>
  <c r="F17" i="198" s="1"/>
  <c r="F13" i="166"/>
  <c r="O6" i="166"/>
  <c r="O13" i="166"/>
  <c r="AA16" i="166" l="1"/>
  <c r="Z11" i="166"/>
  <c r="Z12" i="166"/>
  <c r="Y11" i="166"/>
  <c r="Y12" i="166"/>
  <c r="X11" i="166"/>
  <c r="X12" i="166"/>
  <c r="N13" i="166"/>
  <c r="N14" i="166"/>
  <c r="N15" i="166"/>
  <c r="M13" i="166"/>
  <c r="M14" i="166"/>
  <c r="M15" i="166"/>
  <c r="L13" i="166"/>
  <c r="L14" i="166"/>
  <c r="L15" i="166"/>
  <c r="K13" i="166"/>
  <c r="K14" i="166"/>
  <c r="K15" i="166"/>
  <c r="J13" i="166"/>
  <c r="J14" i="166"/>
  <c r="J15" i="166"/>
  <c r="I13" i="166"/>
  <c r="I14" i="166"/>
  <c r="I15" i="166"/>
  <c r="H13" i="166"/>
  <c r="H14" i="166"/>
  <c r="H15" i="166"/>
  <c r="G13" i="166"/>
  <c r="G14" i="166"/>
  <c r="G15" i="166"/>
  <c r="F14" i="166"/>
  <c r="F15" i="166"/>
  <c r="E13" i="166"/>
  <c r="E14" i="166"/>
  <c r="E15" i="166"/>
  <c r="D13" i="166"/>
  <c r="D14" i="166"/>
  <c r="D15" i="166"/>
  <c r="C13" i="166"/>
  <c r="C14" i="166"/>
  <c r="C15" i="166"/>
  <c r="W8" i="166"/>
  <c r="W7" i="166"/>
  <c r="V8" i="166"/>
  <c r="V7" i="166"/>
  <c r="U8" i="166"/>
  <c r="U7" i="166"/>
  <c r="U6" i="166"/>
  <c r="T8" i="166"/>
  <c r="T7" i="166"/>
  <c r="S8" i="166"/>
  <c r="S7" i="166"/>
  <c r="R8" i="166"/>
  <c r="R7" i="166"/>
  <c r="R6" i="166"/>
  <c r="Q8" i="166"/>
  <c r="Q7" i="166"/>
  <c r="P8" i="166"/>
  <c r="P7" i="166"/>
  <c r="O8" i="166"/>
  <c r="O7" i="166"/>
  <c r="T13" i="166"/>
  <c r="U15" i="166"/>
  <c r="U14" i="166"/>
  <c r="T14" i="166"/>
  <c r="W15" i="166"/>
  <c r="W14" i="166"/>
  <c r="R13" i="166"/>
  <c r="O15" i="166"/>
  <c r="V13" i="166"/>
  <c r="P13" i="166"/>
  <c r="S15" i="166"/>
  <c r="W13" i="166"/>
  <c r="V14" i="166"/>
  <c r="Q15" i="166"/>
  <c r="Q13" i="166"/>
  <c r="O14" i="166"/>
  <c r="Q14" i="166"/>
  <c r="U13" i="166"/>
  <c r="P15" i="166"/>
  <c r="S14" i="166"/>
  <c r="P14" i="166"/>
  <c r="V15" i="166"/>
  <c r="R14" i="166"/>
  <c r="T15" i="166"/>
  <c r="R15" i="166"/>
  <c r="S13" i="166"/>
  <c r="F16" i="166" l="1"/>
  <c r="J16" i="166"/>
  <c r="N16" i="166"/>
  <c r="M16" i="166"/>
  <c r="E16" i="166"/>
  <c r="D16" i="166"/>
  <c r="H16" i="166"/>
  <c r="L16" i="166"/>
  <c r="I16" i="166"/>
  <c r="C16" i="166"/>
  <c r="G16" i="166"/>
  <c r="K16" i="166"/>
  <c r="O16" i="166"/>
  <c r="P16" i="166"/>
  <c r="Q16" i="166"/>
  <c r="R16" i="166"/>
  <c r="S16" i="166"/>
  <c r="T16" i="166"/>
  <c r="U16" i="166"/>
  <c r="V16" i="166"/>
  <c r="W16" i="166"/>
  <c r="Z13" i="166"/>
  <c r="Z14" i="166"/>
  <c r="Z15" i="166"/>
  <c r="Y14" i="166"/>
  <c r="Y15" i="166"/>
  <c r="Y13" i="166"/>
  <c r="X13" i="166"/>
  <c r="X14" i="166"/>
  <c r="X15" i="166"/>
  <c r="C44" i="164"/>
  <c r="B44" i="164"/>
  <c r="C41" i="164"/>
  <c r="B41" i="164"/>
  <c r="C38" i="164"/>
  <c r="B38" i="164"/>
  <c r="C35" i="164"/>
  <c r="B35" i="164"/>
  <c r="C32" i="164"/>
  <c r="B32" i="164"/>
  <c r="C29" i="164"/>
  <c r="B29" i="164"/>
  <c r="C26" i="164"/>
  <c r="B26" i="164"/>
  <c r="C23" i="164"/>
  <c r="B23" i="164"/>
  <c r="C20" i="164"/>
  <c r="B20" i="164"/>
  <c r="C17" i="164"/>
  <c r="B17" i="164"/>
  <c r="C14" i="164"/>
  <c r="B14" i="164"/>
  <c r="C11" i="164"/>
  <c r="B11" i="164"/>
  <c r="AB8" i="164"/>
  <c r="AB7" i="164"/>
  <c r="AA8" i="164"/>
  <c r="AA7" i="164"/>
  <c r="Z8" i="164"/>
  <c r="Z7" i="164"/>
  <c r="Z6" i="164"/>
  <c r="Y8" i="164"/>
  <c r="Y7" i="164"/>
  <c r="X8" i="164"/>
  <c r="X7" i="164"/>
  <c r="W8" i="164"/>
  <c r="W7" i="164"/>
  <c r="W6" i="164"/>
  <c r="V8" i="164"/>
  <c r="V7" i="164"/>
  <c r="U8" i="164"/>
  <c r="U7" i="164"/>
  <c r="T8" i="164"/>
  <c r="T7" i="164"/>
  <c r="T6" i="164"/>
  <c r="S8" i="164"/>
  <c r="S7" i="164"/>
  <c r="R8" i="164"/>
  <c r="R7" i="164"/>
  <c r="Q8" i="164"/>
  <c r="Q7" i="164"/>
  <c r="Q6" i="164"/>
  <c r="X16" i="166" l="1"/>
  <c r="Y16" i="166"/>
  <c r="Z16" i="166"/>
  <c r="L26" i="138"/>
  <c r="J26" i="138"/>
  <c r="H26" i="138"/>
  <c r="F26" i="138"/>
  <c r="D26" i="138"/>
  <c r="L16" i="138"/>
  <c r="J16" i="138"/>
  <c r="H16" i="138"/>
  <c r="F16" i="138"/>
  <c r="D16" i="138"/>
  <c r="L6" i="138"/>
  <c r="J6" i="138"/>
  <c r="H6" i="138"/>
  <c r="F6" i="138"/>
  <c r="D6" i="138"/>
  <c r="B10" i="190"/>
  <c r="B9" i="190"/>
  <c r="G5" i="137"/>
  <c r="E5" i="137"/>
  <c r="C5" i="137"/>
  <c r="G5" i="170"/>
  <c r="E5" i="170"/>
  <c r="C5" i="170"/>
  <c r="B9" i="194"/>
  <c r="B10" i="194" s="1"/>
  <c r="I18" i="138"/>
  <c r="G10" i="137"/>
  <c r="E30" i="138"/>
  <c r="C9" i="170"/>
  <c r="G8" i="170"/>
  <c r="E19" i="138"/>
  <c r="C10" i="137"/>
  <c r="G10" i="138"/>
  <c r="G20" i="138"/>
  <c r="G11" i="137"/>
  <c r="E9" i="138"/>
  <c r="G12" i="137"/>
  <c r="E8" i="137"/>
  <c r="C7" i="137"/>
  <c r="E28" i="138"/>
  <c r="C19" i="138"/>
  <c r="C13" i="137"/>
  <c r="E11" i="137"/>
  <c r="G8" i="137"/>
  <c r="C20" i="138"/>
  <c r="E7" i="137"/>
  <c r="C9" i="138"/>
  <c r="E10" i="138"/>
  <c r="I10" i="138"/>
  <c r="C8" i="170"/>
  <c r="I8" i="138"/>
  <c r="C30" i="138"/>
  <c r="E9" i="137"/>
  <c r="I20" i="138"/>
  <c r="E12" i="137"/>
  <c r="C11" i="137"/>
  <c r="E7" i="170"/>
  <c r="G7" i="137"/>
  <c r="G19" i="138"/>
  <c r="G30" i="138"/>
  <c r="G28" i="138"/>
  <c r="C8" i="137"/>
  <c r="G9" i="137"/>
  <c r="C9" i="137"/>
  <c r="C12" i="137"/>
  <c r="G9" i="170"/>
  <c r="E9" i="170"/>
  <c r="G13" i="137"/>
  <c r="C28" i="138"/>
  <c r="I29" i="138"/>
  <c r="G8" i="138"/>
  <c r="G9" i="138"/>
  <c r="I28" i="138"/>
  <c r="I30" i="138"/>
  <c r="C10" i="138"/>
  <c r="C18" i="138"/>
  <c r="E10" i="137"/>
  <c r="C7" i="170"/>
  <c r="G18" i="138"/>
  <c r="E18" i="138"/>
  <c r="E8" i="170"/>
  <c r="E13" i="137"/>
  <c r="I19" i="138"/>
  <c r="C14" i="137"/>
  <c r="I9" i="138"/>
  <c r="G7" i="170"/>
  <c r="C8" i="138"/>
  <c r="E20" i="138"/>
  <c r="E14" i="137"/>
  <c r="E8" i="138"/>
  <c r="G29" i="138"/>
  <c r="C29" i="138"/>
  <c r="G14" i="137"/>
  <c r="E29" i="138"/>
  <c r="B11" i="190" l="1"/>
  <c r="I31" i="138"/>
  <c r="G31" i="138"/>
  <c r="E31" i="138"/>
  <c r="C31" i="138"/>
  <c r="K28" i="138"/>
  <c r="K30" i="138"/>
  <c r="K29" i="138"/>
  <c r="I21" i="138"/>
  <c r="G21" i="138"/>
  <c r="E21" i="138"/>
  <c r="C21" i="138"/>
  <c r="K19" i="138"/>
  <c r="K20" i="138"/>
  <c r="K18" i="138"/>
  <c r="I11" i="138"/>
  <c r="G11" i="138"/>
  <c r="E11" i="138"/>
  <c r="C11" i="138"/>
  <c r="K10" i="138"/>
  <c r="K9" i="138"/>
  <c r="K8" i="138"/>
  <c r="G15" i="137"/>
  <c r="E15" i="137"/>
  <c r="C15" i="137"/>
  <c r="I14" i="137"/>
  <c r="I13" i="137"/>
  <c r="I12" i="137"/>
  <c r="I8" i="137"/>
  <c r="I10" i="137"/>
  <c r="I9" i="137"/>
  <c r="I11" i="137"/>
  <c r="I7" i="137"/>
  <c r="G10" i="170"/>
  <c r="E10" i="170"/>
  <c r="C10" i="170"/>
  <c r="I8" i="170"/>
  <c r="I9" i="170"/>
  <c r="I7" i="170"/>
  <c r="B11" i="194"/>
  <c r="J4" i="194" s="1"/>
  <c r="B9" i="193"/>
  <c r="I4" i="194"/>
  <c r="F4" i="194"/>
  <c r="J4" i="190" l="1"/>
  <c r="K31" i="138"/>
  <c r="L31" i="138" s="1"/>
  <c r="J29" i="138"/>
  <c r="J30" i="138"/>
  <c r="J28" i="138"/>
  <c r="H29" i="138"/>
  <c r="H30" i="138"/>
  <c r="H28" i="138"/>
  <c r="F29" i="138"/>
  <c r="F30" i="138"/>
  <c r="F28" i="138"/>
  <c r="D29" i="138"/>
  <c r="D30" i="138"/>
  <c r="D28" i="138"/>
  <c r="K21" i="138"/>
  <c r="L21" i="138" s="1"/>
  <c r="J20" i="138"/>
  <c r="J18" i="138"/>
  <c r="J19" i="138"/>
  <c r="H20" i="138"/>
  <c r="H18" i="138"/>
  <c r="H19" i="138"/>
  <c r="F20" i="138"/>
  <c r="F18" i="138"/>
  <c r="F19" i="138"/>
  <c r="D20" i="138"/>
  <c r="D18" i="138"/>
  <c r="D19" i="138"/>
  <c r="K11" i="138"/>
  <c r="J9" i="138"/>
  <c r="J8" i="138"/>
  <c r="J10" i="138"/>
  <c r="H9" i="138"/>
  <c r="H10" i="138"/>
  <c r="H8" i="138"/>
  <c r="F10" i="138"/>
  <c r="F8" i="138"/>
  <c r="F9" i="138"/>
  <c r="D8" i="138"/>
  <c r="D9" i="138"/>
  <c r="D10" i="138"/>
  <c r="B10" i="193"/>
  <c r="B11" i="193" s="1"/>
  <c r="I15" i="137"/>
  <c r="J15" i="137" s="1"/>
  <c r="H9" i="137"/>
  <c r="H13" i="137"/>
  <c r="H10" i="137"/>
  <c r="H14" i="137"/>
  <c r="H7" i="137"/>
  <c r="H11" i="137"/>
  <c r="H8" i="137"/>
  <c r="H12" i="137"/>
  <c r="F10" i="137"/>
  <c r="F14" i="137"/>
  <c r="F7" i="137"/>
  <c r="F11" i="137"/>
  <c r="F8" i="137"/>
  <c r="F12" i="137"/>
  <c r="F9" i="137"/>
  <c r="F13" i="137"/>
  <c r="D10" i="137"/>
  <c r="D14" i="137"/>
  <c r="D12" i="137"/>
  <c r="D13" i="137"/>
  <c r="D7" i="137"/>
  <c r="D11" i="137"/>
  <c r="D8" i="137"/>
  <c r="D9" i="137"/>
  <c r="I10" i="170"/>
  <c r="J10" i="170" s="1"/>
  <c r="H9" i="170"/>
  <c r="H7" i="170"/>
  <c r="H8" i="170"/>
  <c r="F7" i="170"/>
  <c r="F8" i="170"/>
  <c r="F9" i="170"/>
  <c r="D9" i="170"/>
  <c r="D8" i="170"/>
  <c r="D7" i="170"/>
  <c r="E4" i="190"/>
  <c r="I4" i="190"/>
  <c r="H4" i="190"/>
  <c r="D4" i="190"/>
  <c r="H4" i="194"/>
  <c r="D4" i="194"/>
  <c r="E4" i="194"/>
  <c r="F4" i="190"/>
  <c r="B12" i="193" l="1"/>
  <c r="J4" i="193" s="1"/>
  <c r="J31" i="138"/>
  <c r="D31" i="138"/>
  <c r="F31" i="138"/>
  <c r="H31" i="138"/>
  <c r="L29" i="138"/>
  <c r="L30" i="138"/>
  <c r="L28" i="138"/>
  <c r="D21" i="138"/>
  <c r="F21" i="138"/>
  <c r="J21" i="138"/>
  <c r="H21" i="138"/>
  <c r="L11" i="138"/>
  <c r="L20" i="138"/>
  <c r="L18" i="138"/>
  <c r="L19" i="138"/>
  <c r="J11" i="138"/>
  <c r="L8" i="138"/>
  <c r="L10" i="138"/>
  <c r="D11" i="138"/>
  <c r="H11" i="138"/>
  <c r="L9" i="138"/>
  <c r="F11" i="138"/>
  <c r="H15" i="137"/>
  <c r="J8" i="137"/>
  <c r="J12" i="137"/>
  <c r="F15" i="137"/>
  <c r="J9" i="137"/>
  <c r="J13" i="137"/>
  <c r="D15" i="137"/>
  <c r="J10" i="137"/>
  <c r="J14" i="137"/>
  <c r="J7" i="137"/>
  <c r="J11" i="137"/>
  <c r="H10" i="170"/>
  <c r="D10" i="170"/>
  <c r="J9" i="170"/>
  <c r="F10" i="170"/>
  <c r="J8" i="170"/>
  <c r="J7" i="170"/>
  <c r="D4" i="193"/>
  <c r="F4" i="193"/>
  <c r="H4" i="193"/>
  <c r="I4" i="193"/>
  <c r="E4" i="193"/>
  <c r="F26" i="157" l="1"/>
  <c r="E26" i="157"/>
  <c r="D26" i="157"/>
  <c r="C26" i="157"/>
  <c r="F16" i="157"/>
  <c r="E16" i="157"/>
  <c r="D16" i="157"/>
  <c r="C16" i="157"/>
  <c r="F6" i="157"/>
  <c r="E6" i="157"/>
  <c r="D6" i="157"/>
  <c r="C6" i="157"/>
  <c r="C10" i="157"/>
  <c r="C20" i="157"/>
  <c r="C28" i="157"/>
  <c r="C29" i="157"/>
  <c r="C30" i="157"/>
  <c r="C18" i="157"/>
  <c r="E18" i="157"/>
  <c r="C8" i="157"/>
  <c r="G18" i="157" l="1"/>
  <c r="E29" i="157"/>
  <c r="E19" i="157"/>
  <c r="C9" i="157"/>
  <c r="E10" i="157"/>
  <c r="E9" i="157"/>
  <c r="E28" i="157"/>
  <c r="E8" i="157"/>
  <c r="E30" i="157"/>
  <c r="E20" i="157"/>
  <c r="C19" i="157"/>
  <c r="G20" i="157" l="1"/>
  <c r="G29" i="157"/>
  <c r="G8" i="157"/>
  <c r="E11" i="157"/>
  <c r="E21" i="157" s="1"/>
  <c r="E31" i="157" s="1"/>
  <c r="G10" i="157"/>
  <c r="G28" i="157"/>
  <c r="G30" i="157"/>
  <c r="G19" i="157"/>
  <c r="G9" i="157"/>
  <c r="C11" i="157"/>
  <c r="C21" i="157" s="1"/>
  <c r="C31" i="157" s="1"/>
  <c r="F10" i="157" l="1"/>
  <c r="F28" i="157"/>
  <c r="F9" i="157"/>
  <c r="F29" i="157"/>
  <c r="F8" i="157"/>
  <c r="F30" i="157"/>
  <c r="F19" i="157"/>
  <c r="F18" i="157"/>
  <c r="F20" i="157"/>
  <c r="G11" i="157"/>
  <c r="H29" i="157" s="1"/>
  <c r="D29" i="157"/>
  <c r="D19" i="157"/>
  <c r="D9" i="157"/>
  <c r="D30" i="157"/>
  <c r="D28" i="157"/>
  <c r="D20" i="157"/>
  <c r="D18" i="157"/>
  <c r="D10" i="157"/>
  <c r="D8" i="157"/>
  <c r="H10" i="157" l="1"/>
  <c r="H28" i="157"/>
  <c r="F11" i="157"/>
  <c r="H30" i="157"/>
  <c r="H19" i="157"/>
  <c r="H8" i="157"/>
  <c r="H20" i="157"/>
  <c r="D11" i="157"/>
  <c r="H11" i="157"/>
  <c r="G21" i="157"/>
  <c r="G31" i="157" s="1"/>
  <c r="H18" i="157"/>
  <c r="H9" i="157"/>
  <c r="F21" i="157" l="1"/>
  <c r="D21" i="157"/>
  <c r="H21" i="157"/>
  <c r="H31" i="157"/>
  <c r="D31" i="157"/>
  <c r="F31" i="157"/>
</calcChain>
</file>

<file path=xl/sharedStrings.xml><?xml version="1.0" encoding="utf-8"?>
<sst xmlns="http://schemas.openxmlformats.org/spreadsheetml/2006/main" count="608" uniqueCount="143">
  <si>
    <t>Dienststelle:</t>
  </si>
  <si>
    <t>Dir E St FüU</t>
  </si>
  <si>
    <t>Januar</t>
  </si>
  <si>
    <t>Stab Führungsunterstützung</t>
  </si>
  <si>
    <t>Februar</t>
  </si>
  <si>
    <t>Königstr. 5</t>
  </si>
  <si>
    <t>März</t>
  </si>
  <si>
    <t>14163 Berlin</t>
  </si>
  <si>
    <t>April</t>
  </si>
  <si>
    <t>Mai</t>
  </si>
  <si>
    <t>Juni</t>
  </si>
  <si>
    <t>Juli</t>
  </si>
  <si>
    <t>Entwicklung durch:</t>
  </si>
  <si>
    <t>Christoph Huschenhöfer</t>
  </si>
  <si>
    <t>August</t>
  </si>
  <si>
    <t>Version:</t>
  </si>
  <si>
    <t>September</t>
  </si>
  <si>
    <t>Datum:</t>
  </si>
  <si>
    <t>Oktober</t>
  </si>
  <si>
    <t>November</t>
  </si>
  <si>
    <t>Dezember</t>
  </si>
  <si>
    <t>Changelog:</t>
  </si>
  <si>
    <t>1.1</t>
  </si>
  <si>
    <t>ZG 0</t>
  </si>
  <si>
    <t>ZG 1</t>
  </si>
  <si>
    <t>ZG 2</t>
  </si>
  <si>
    <t>ZG 3</t>
  </si>
  <si>
    <t>Hinweis</t>
  </si>
  <si>
    <t>1. Schießabschnitt</t>
  </si>
  <si>
    <t>2. Schießabschnitt</t>
  </si>
  <si>
    <t>3. Schießabschnitt</t>
  </si>
  <si>
    <t>Dir E Gef</t>
  </si>
  <si>
    <t>Laser</t>
  </si>
  <si>
    <t>Referat</t>
  </si>
  <si>
    <t>dauerkrank</t>
  </si>
  <si>
    <t>mod. dienstfähig</t>
  </si>
  <si>
    <t>adV in fremden Ref.</t>
  </si>
  <si>
    <t>Waffentrageverbot</t>
  </si>
  <si>
    <t>Schießverbot</t>
  </si>
  <si>
    <t>MuschVO / ETZ</t>
  </si>
  <si>
    <t>Sonderurlaub</t>
  </si>
  <si>
    <t>sonstiges</t>
  </si>
  <si>
    <t>...</t>
  </si>
  <si>
    <t>Gesamt</t>
  </si>
  <si>
    <t>in %</t>
  </si>
  <si>
    <t>scharfer Schuss</t>
  </si>
  <si>
    <t>In diesem Register werden die benötigten Voreinstellungen vorgenommen.</t>
  </si>
  <si>
    <t>Hinweise</t>
  </si>
  <si>
    <t>Anzahl</t>
  </si>
  <si>
    <t>Zielgruppe</t>
  </si>
  <si>
    <t>Zielgruppen</t>
  </si>
  <si>
    <t>MuschVO - adV - dauerkrank - etc.</t>
  </si>
  <si>
    <t>Schießen</t>
  </si>
  <si>
    <t>Audiometrie</t>
  </si>
  <si>
    <t>Statistik Schießen</t>
  </si>
  <si>
    <t>Statistik - Schießen</t>
  </si>
  <si>
    <t>Schießstatistik - ET 2</t>
  </si>
  <si>
    <t>Dir E WSP</t>
  </si>
  <si>
    <t>Statistik</t>
  </si>
  <si>
    <t>Laserschütze</t>
  </si>
  <si>
    <t>Schützen</t>
  </si>
  <si>
    <t>Personal</t>
  </si>
  <si>
    <t>Lfd.-Nr.</t>
  </si>
  <si>
    <t>Pers.-Nr.</t>
  </si>
  <si>
    <t>Nachname</t>
  </si>
  <si>
    <t>Vorname</t>
  </si>
  <si>
    <t>DST</t>
  </si>
  <si>
    <t>ZG</t>
  </si>
  <si>
    <t>Datum</t>
  </si>
  <si>
    <t>P6</t>
  </si>
  <si>
    <t>KÜ</t>
  </si>
  <si>
    <t>GÜ 1</t>
  </si>
  <si>
    <t>GÜ 2</t>
  </si>
  <si>
    <t>GÜ 3</t>
  </si>
  <si>
    <t>MP</t>
  </si>
  <si>
    <t>Ü 1</t>
  </si>
  <si>
    <t>Ü 2</t>
  </si>
  <si>
    <t>Erfüllung</t>
  </si>
  <si>
    <t>Zusatz</t>
  </si>
  <si>
    <t>E</t>
  </si>
  <si>
    <t>Maik</t>
  </si>
  <si>
    <t>ja</t>
  </si>
  <si>
    <t>Müller</t>
  </si>
  <si>
    <t>Monika</t>
  </si>
  <si>
    <t>nein</t>
  </si>
  <si>
    <t>Schmidt</t>
  </si>
  <si>
    <t>Sascha</t>
  </si>
  <si>
    <t>Schumann</t>
  </si>
  <si>
    <t>Sven</t>
  </si>
  <si>
    <t>Einstellungen</t>
  </si>
  <si>
    <t>Dir E ZOS</t>
  </si>
  <si>
    <t>1. Quartal</t>
  </si>
  <si>
    <t>2. Quartal</t>
  </si>
  <si>
    <t>3. Quartal</t>
  </si>
  <si>
    <t>MA</t>
  </si>
  <si>
    <t>Jahreserfassung</t>
  </si>
  <si>
    <t>Monatliche Vorbereitung für das Jahreseinsatztraining - Schießen</t>
  </si>
  <si>
    <t>Erfassungszeitraum</t>
  </si>
  <si>
    <t>Durchgeführt bei:</t>
  </si>
  <si>
    <t>Durchgeführt bei ET 2:</t>
  </si>
  <si>
    <t>Dir E 1. BPA</t>
  </si>
  <si>
    <t>Dir E 2. BPA</t>
  </si>
  <si>
    <t>Dir E 3. BPA</t>
  </si>
  <si>
    <t>Anzahl geplanter TE</t>
  </si>
  <si>
    <t>Anzahl durchgeführter TE</t>
  </si>
  <si>
    <t>Dir E ELZ/LZ</t>
  </si>
  <si>
    <t>Gesamt TN</t>
  </si>
  <si>
    <t>-</t>
  </si>
  <si>
    <t>Meister</t>
  </si>
  <si>
    <t>01.01.2017</t>
  </si>
  <si>
    <t>31.12.2017</t>
  </si>
  <si>
    <t>Bemerkung</t>
  </si>
  <si>
    <t>Dir E - Auswertung L Dir</t>
  </si>
  <si>
    <t>Hörschutz</t>
  </si>
  <si>
    <t>LS</t>
  </si>
  <si>
    <t>HS</t>
  </si>
  <si>
    <t/>
  </si>
  <si>
    <t>Wensike</t>
  </si>
  <si>
    <t>Wilhelm</t>
  </si>
  <si>
    <t>Wolter</t>
  </si>
  <si>
    <t>Wilfried</t>
  </si>
  <si>
    <t>Wenz</t>
  </si>
  <si>
    <t>Wolfgang</t>
  </si>
  <si>
    <t>Zädow</t>
  </si>
  <si>
    <t>Ben</t>
  </si>
  <si>
    <t>Zadeke</t>
  </si>
  <si>
    <t>Benjamin</t>
  </si>
  <si>
    <t>Zervin</t>
  </si>
  <si>
    <t>Bilgin</t>
  </si>
  <si>
    <t>1,2,3,4</t>
  </si>
  <si>
    <t>09.11.2017</t>
  </si>
  <si>
    <t>1</t>
  </si>
  <si>
    <t>2</t>
  </si>
  <si>
    <t>3</t>
  </si>
  <si>
    <t>4</t>
  </si>
  <si>
    <t>5</t>
  </si>
  <si>
    <t>4,3,2,1</t>
  </si>
  <si>
    <t>Dir E ET</t>
  </si>
  <si>
    <t>Die Tabellen zeigen den quartalsmäßigen Stand des Jahreseinsatztraining - Schießen bei der Dir E:</t>
  </si>
  <si>
    <t>Anzahl der MA</t>
  </si>
  <si>
    <t>Meldung an L Dir</t>
  </si>
  <si>
    <t>4. Quartal</t>
  </si>
  <si>
    <t>Quartal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</si>
</sst>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</font>
    <font>
      <b/>
      <sz val="20"/>
      <name val="Calibri"/>
      <family val="2"/>
    </font>
    <font>
      <b/>
      <sz val="20"/>
      <color theme="0" tint="-4.9989318521683403E-2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indexed="22"/>
        <bgColor indexed="64"/>
      </patternFill>
    </fill>
  </fills>
  <borders count="11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double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double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double">
        <color auto="1"/>
      </top>
      <bottom style="medium">
        <color auto="1"/>
      </bottom>
      <diagonal/>
    </border>
    <border>
      <left/>
      <right/>
      <top style="double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4" fillId="0" borderId="0"/>
  </cellStyleXfs>
  <cellXfs count="210">
    <xf numFmtId="0" fontId="0" fillId="0" borderId="0" xfId="0"/>
    <xf numFmtId="0" fontId="3" fillId="0" borderId="0" xfId="2" applyFont="1" applyFill="1" applyBorder="1"/>
    <xf numFmtId="0" fontId="8" fillId="2" borderId="0" xfId="2" applyFont="1" applyFill="1" applyBorder="1" applyAlignment="1">
      <alignment vertical="center" wrapText="1"/>
    </xf>
    <xf numFmtId="0" fontId="7" fillId="3" borderId="0" xfId="2" applyFont="1" applyFill="1" applyBorder="1" applyAlignment="1">
      <alignment vertical="center" wrapText="1"/>
    </xf>
    <xf numFmtId="0" fontId="3" fillId="3" borderId="0" xfId="2" applyFont="1" applyFill="1" applyBorder="1" applyAlignment="1">
      <alignment vertical="center"/>
    </xf>
    <xf numFmtId="0" fontId="3" fillId="0" borderId="0" xfId="2" applyFont="1" applyFill="1" applyBorder="1" applyAlignment="1">
      <alignment vertical="center"/>
    </xf>
    <xf numFmtId="0" fontId="3" fillId="2" borderId="0" xfId="2" applyFont="1" applyFill="1" applyBorder="1"/>
    <xf numFmtId="0" fontId="2" fillId="2" borderId="0" xfId="2" applyFont="1" applyFill="1" applyBorder="1"/>
    <xf numFmtId="0" fontId="6" fillId="2" borderId="0" xfId="2" applyFont="1" applyFill="1" applyBorder="1"/>
    <xf numFmtId="0" fontId="3" fillId="3" borderId="0" xfId="2" applyFont="1" applyFill="1" applyBorder="1"/>
    <xf numFmtId="14" fontId="3" fillId="2" borderId="0" xfId="2" applyNumberFormat="1" applyFont="1" applyFill="1" applyBorder="1" applyAlignment="1">
      <alignment horizontal="left"/>
    </xf>
    <xf numFmtId="0" fontId="3" fillId="2" borderId="0" xfId="2" quotePrefix="1" applyFont="1" applyFill="1" applyBorder="1"/>
    <xf numFmtId="14" fontId="6" fillId="2" borderId="0" xfId="2" applyNumberFormat="1" applyFont="1" applyFill="1" applyBorder="1" applyAlignment="1" applyProtection="1">
      <alignment vertical="center"/>
    </xf>
    <xf numFmtId="0" fontId="3" fillId="2" borderId="0" xfId="2" applyFont="1" applyFill="1" applyBorder="1" applyProtection="1"/>
    <xf numFmtId="14" fontId="6" fillId="2" borderId="0" xfId="2" applyNumberFormat="1" applyFont="1" applyFill="1" applyBorder="1" applyProtection="1">
      <protection locked="0"/>
    </xf>
    <xf numFmtId="49" fontId="3" fillId="2" borderId="0" xfId="2" applyNumberFormat="1" applyFont="1" applyFill="1" applyBorder="1"/>
    <xf numFmtId="0" fontId="0" fillId="0" borderId="0" xfId="0" applyFont="1" applyAlignment="1" applyProtection="1">
      <alignment horizontal="center" vertical="center"/>
    </xf>
    <xf numFmtId="0" fontId="0" fillId="0" borderId="16" xfId="0" applyFont="1" applyBorder="1" applyAlignment="1" applyProtection="1">
      <alignment horizontal="center" vertical="center"/>
    </xf>
    <xf numFmtId="0" fontId="0" fillId="0" borderId="19" xfId="0" applyFont="1" applyBorder="1" applyAlignment="1" applyProtection="1">
      <alignment horizontal="center" vertical="center"/>
    </xf>
    <xf numFmtId="0" fontId="0" fillId="0" borderId="24" xfId="0" applyBorder="1"/>
    <xf numFmtId="0" fontId="0" fillId="0" borderId="0" xfId="0" applyFont="1"/>
    <xf numFmtId="0" fontId="0" fillId="0" borderId="0" xfId="0" applyFont="1" applyAlignment="1">
      <alignment vertical="center"/>
    </xf>
    <xf numFmtId="0" fontId="10" fillId="4" borderId="25" xfId="0" applyFont="1" applyFill="1" applyBorder="1" applyAlignment="1">
      <alignment horizontal="center" vertical="center"/>
    </xf>
    <xf numFmtId="0" fontId="10" fillId="4" borderId="26" xfId="0" applyFont="1" applyFill="1" applyBorder="1" applyAlignment="1">
      <alignment horizontal="center" vertical="center"/>
    </xf>
    <xf numFmtId="0" fontId="10" fillId="4" borderId="27" xfId="0" applyFont="1" applyFill="1" applyBorder="1" applyAlignment="1">
      <alignment horizontal="center" vertical="center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7" xfId="0" applyBorder="1"/>
    <xf numFmtId="0" fontId="0" fillId="0" borderId="8" xfId="0" applyBorder="1"/>
    <xf numFmtId="0" fontId="5" fillId="5" borderId="32" xfId="0" applyFont="1" applyFill="1" applyBorder="1" applyAlignment="1" applyProtection="1">
      <alignment horizontal="center" vertical="center"/>
    </xf>
    <xf numFmtId="0" fontId="0" fillId="0" borderId="34" xfId="0" applyFont="1" applyBorder="1" applyAlignment="1" applyProtection="1">
      <alignment horizontal="center" vertical="center"/>
    </xf>
    <xf numFmtId="0" fontId="11" fillId="0" borderId="0" xfId="0" applyFont="1" applyAlignment="1" applyProtection="1">
      <alignment horizontal="left" vertical="center"/>
    </xf>
    <xf numFmtId="0" fontId="0" fillId="5" borderId="13" xfId="0" applyFont="1" applyFill="1" applyBorder="1" applyAlignment="1" applyProtection="1">
      <alignment horizontal="center" vertical="center"/>
    </xf>
    <xf numFmtId="0" fontId="0" fillId="5" borderId="14" xfId="0" applyFont="1" applyFill="1" applyBorder="1" applyAlignment="1" applyProtection="1">
      <alignment horizontal="center" vertical="center"/>
    </xf>
    <xf numFmtId="0" fontId="5" fillId="5" borderId="36" xfId="0" applyFont="1" applyFill="1" applyBorder="1" applyAlignment="1" applyProtection="1">
      <alignment horizontal="center" vertical="center"/>
    </xf>
    <xf numFmtId="0" fontId="5" fillId="5" borderId="37" xfId="0" applyFont="1" applyFill="1" applyBorder="1" applyAlignment="1" applyProtection="1">
      <alignment horizontal="center" vertical="center"/>
    </xf>
    <xf numFmtId="9" fontId="0" fillId="0" borderId="17" xfId="0" applyNumberFormat="1" applyFont="1" applyBorder="1" applyAlignment="1" applyProtection="1">
      <alignment horizontal="right" vertical="center" indent="1"/>
    </xf>
    <xf numFmtId="9" fontId="0" fillId="0" borderId="20" xfId="0" applyNumberFormat="1" applyFont="1" applyBorder="1" applyAlignment="1" applyProtection="1">
      <alignment horizontal="right" vertical="center" indent="1"/>
    </xf>
    <xf numFmtId="9" fontId="0" fillId="0" borderId="35" xfId="0" applyNumberFormat="1" applyFont="1" applyBorder="1" applyAlignment="1" applyProtection="1">
      <alignment horizontal="right" vertical="center" indent="1"/>
    </xf>
    <xf numFmtId="0" fontId="5" fillId="0" borderId="15" xfId="0" applyFont="1" applyBorder="1" applyAlignment="1" applyProtection="1">
      <alignment horizontal="left" vertical="center" indent="1"/>
    </xf>
    <xf numFmtId="0" fontId="5" fillId="0" borderId="18" xfId="0" applyFont="1" applyBorder="1" applyAlignment="1" applyProtection="1">
      <alignment horizontal="left" vertical="center" indent="1"/>
    </xf>
    <xf numFmtId="0" fontId="5" fillId="0" borderId="33" xfId="0" applyFont="1" applyBorder="1" applyAlignment="1" applyProtection="1">
      <alignment horizontal="left" vertical="center" indent="1"/>
    </xf>
    <xf numFmtId="9" fontId="0" fillId="0" borderId="16" xfId="0" applyNumberFormat="1" applyFont="1" applyBorder="1" applyAlignment="1" applyProtection="1">
      <alignment horizontal="right" vertical="center" indent="1"/>
    </xf>
    <xf numFmtId="9" fontId="0" fillId="0" borderId="19" xfId="0" applyNumberFormat="1" applyFont="1" applyBorder="1" applyAlignment="1" applyProtection="1">
      <alignment horizontal="right" vertical="center" indent="1"/>
    </xf>
    <xf numFmtId="9" fontId="0" fillId="0" borderId="34" xfId="0" applyNumberFormat="1" applyFont="1" applyBorder="1" applyAlignment="1" applyProtection="1">
      <alignment horizontal="right" vertical="center" indent="1"/>
    </xf>
    <xf numFmtId="9" fontId="5" fillId="5" borderId="37" xfId="0" applyNumberFormat="1" applyFont="1" applyFill="1" applyBorder="1" applyAlignment="1" applyProtection="1">
      <alignment horizontal="right" vertical="center" indent="1"/>
    </xf>
    <xf numFmtId="9" fontId="5" fillId="5" borderId="38" xfId="0" applyNumberFormat="1" applyFont="1" applyFill="1" applyBorder="1" applyAlignment="1" applyProtection="1">
      <alignment horizontal="right" vertical="center" indent="1"/>
    </xf>
    <xf numFmtId="0" fontId="3" fillId="2" borderId="0" xfId="2" applyFont="1" applyFill="1" applyBorder="1" applyProtection="1">
      <protection hidden="1"/>
    </xf>
    <xf numFmtId="0" fontId="6" fillId="2" borderId="0" xfId="2" applyFont="1" applyFill="1" applyBorder="1" applyAlignment="1" applyProtection="1">
      <alignment horizontal="left" vertical="top"/>
      <protection hidden="1"/>
    </xf>
    <xf numFmtId="0" fontId="5" fillId="5" borderId="31" xfId="0" applyFont="1" applyFill="1" applyBorder="1" applyAlignment="1" applyProtection="1">
      <alignment horizontal="center" vertical="center"/>
    </xf>
    <xf numFmtId="0" fontId="0" fillId="0" borderId="28" xfId="0" applyFont="1" applyBorder="1" applyAlignment="1" applyProtection="1">
      <alignment horizontal="center" vertical="center"/>
    </xf>
    <xf numFmtId="0" fontId="0" fillId="0" borderId="24" xfId="0" applyFont="1" applyBorder="1" applyAlignment="1" applyProtection="1">
      <alignment horizontal="center" vertical="center"/>
    </xf>
    <xf numFmtId="0" fontId="0" fillId="0" borderId="29" xfId="0" applyFont="1" applyBorder="1" applyAlignment="1" applyProtection="1">
      <alignment horizontal="center" vertical="center"/>
    </xf>
    <xf numFmtId="0" fontId="0" fillId="0" borderId="39" xfId="0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 indent="1"/>
    </xf>
    <xf numFmtId="0" fontId="5" fillId="5" borderId="31" xfId="0" applyFont="1" applyFill="1" applyBorder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0" fontId="13" fillId="6" borderId="42" xfId="0" applyFont="1" applyFill="1" applyBorder="1" applyAlignment="1" applyProtection="1">
      <alignment horizontal="center" vertical="center"/>
    </xf>
    <xf numFmtId="0" fontId="14" fillId="6" borderId="43" xfId="0" applyFont="1" applyFill="1" applyBorder="1" applyAlignment="1" applyProtection="1">
      <alignment horizontal="center" vertical="center"/>
    </xf>
    <xf numFmtId="0" fontId="14" fillId="6" borderId="49" xfId="0" applyFont="1" applyFill="1" applyBorder="1" applyAlignment="1" applyProtection="1">
      <alignment horizontal="center" vertical="center"/>
    </xf>
    <xf numFmtId="0" fontId="14" fillId="6" borderId="50" xfId="0" applyFont="1" applyFill="1" applyBorder="1" applyAlignment="1" applyProtection="1">
      <alignment horizontal="center" vertical="center"/>
    </xf>
    <xf numFmtId="0" fontId="14" fillId="6" borderId="48" xfId="0" applyFont="1" applyFill="1" applyBorder="1" applyAlignment="1" applyProtection="1">
      <alignment horizontal="center" vertical="center"/>
    </xf>
    <xf numFmtId="0" fontId="14" fillId="6" borderId="53" xfId="0" applyFont="1" applyFill="1" applyBorder="1" applyAlignment="1" applyProtection="1">
      <alignment horizontal="center" vertical="center"/>
    </xf>
    <xf numFmtId="0" fontId="14" fillId="6" borderId="54" xfId="0" applyFont="1" applyFill="1" applyBorder="1" applyAlignment="1" applyProtection="1">
      <alignment horizontal="center" vertical="center"/>
    </xf>
    <xf numFmtId="0" fontId="14" fillId="6" borderId="55" xfId="0" applyFont="1" applyFill="1" applyBorder="1" applyAlignment="1" applyProtection="1">
      <alignment horizontal="center" vertical="center"/>
    </xf>
    <xf numFmtId="0" fontId="14" fillId="6" borderId="56" xfId="0" applyFont="1" applyFill="1" applyBorder="1" applyAlignment="1" applyProtection="1">
      <alignment horizontal="center" vertical="center"/>
    </xf>
    <xf numFmtId="0" fontId="14" fillId="6" borderId="52" xfId="0" applyFont="1" applyFill="1" applyBorder="1" applyAlignment="1" applyProtection="1">
      <alignment horizontal="center" vertical="center"/>
    </xf>
    <xf numFmtId="0" fontId="13" fillId="0" borderId="57" xfId="0" applyFont="1" applyBorder="1" applyAlignment="1" applyProtection="1">
      <alignment horizontal="center" vertical="center"/>
    </xf>
    <xf numFmtId="0" fontId="13" fillId="0" borderId="58" xfId="0" applyFont="1" applyBorder="1" applyAlignment="1" applyProtection="1">
      <alignment horizontal="center" vertical="center"/>
    </xf>
    <xf numFmtId="0" fontId="13" fillId="0" borderId="59" xfId="0" applyFont="1" applyBorder="1" applyAlignment="1" applyProtection="1">
      <alignment horizontal="center" vertical="center"/>
    </xf>
    <xf numFmtId="0" fontId="13" fillId="0" borderId="60" xfId="0" applyFont="1" applyBorder="1" applyAlignment="1" applyProtection="1">
      <alignment horizontal="center" vertical="center"/>
    </xf>
    <xf numFmtId="0" fontId="13" fillId="0" borderId="61" xfId="0" applyFont="1" applyBorder="1" applyAlignment="1" applyProtection="1">
      <alignment horizontal="center" vertical="center"/>
    </xf>
    <xf numFmtId="0" fontId="13" fillId="0" borderId="61" xfId="0" applyFont="1" applyBorder="1" applyAlignment="1" applyProtection="1">
      <alignment horizontal="left" vertical="center" indent="1"/>
    </xf>
    <xf numFmtId="0" fontId="13" fillId="0" borderId="62" xfId="0" applyFont="1" applyBorder="1" applyAlignment="1" applyProtection="1">
      <alignment horizontal="center" vertical="center"/>
    </xf>
    <xf numFmtId="0" fontId="13" fillId="0" borderId="63" xfId="0" applyFont="1" applyBorder="1" applyAlignment="1" applyProtection="1">
      <alignment horizontal="center" vertical="center"/>
    </xf>
    <xf numFmtId="0" fontId="13" fillId="0" borderId="64" xfId="0" applyFont="1" applyBorder="1" applyAlignment="1" applyProtection="1">
      <alignment horizontal="center" vertical="center"/>
    </xf>
    <xf numFmtId="0" fontId="13" fillId="0" borderId="64" xfId="0" applyFont="1" applyBorder="1" applyAlignment="1" applyProtection="1">
      <alignment horizontal="left" vertical="center" indent="1"/>
    </xf>
    <xf numFmtId="0" fontId="13" fillId="0" borderId="65" xfId="0" applyFont="1" applyBorder="1" applyAlignment="1" applyProtection="1">
      <alignment horizontal="center" vertical="center"/>
    </xf>
    <xf numFmtId="0" fontId="0" fillId="0" borderId="58" xfId="0" applyFont="1" applyBorder="1" applyAlignment="1" applyProtection="1">
      <alignment horizontal="center" vertical="center"/>
    </xf>
    <xf numFmtId="0" fontId="0" fillId="0" borderId="61" xfId="0" applyFont="1" applyBorder="1" applyAlignment="1" applyProtection="1">
      <alignment horizontal="center" vertical="center"/>
    </xf>
    <xf numFmtId="0" fontId="5" fillId="5" borderId="53" xfId="0" applyFont="1" applyFill="1" applyBorder="1" applyAlignment="1" applyProtection="1">
      <alignment horizontal="center" vertical="center"/>
    </xf>
    <xf numFmtId="0" fontId="0" fillId="5" borderId="55" xfId="0" applyFont="1" applyFill="1" applyBorder="1" applyAlignment="1" applyProtection="1">
      <alignment horizontal="center" vertical="center"/>
    </xf>
    <xf numFmtId="0" fontId="0" fillId="5" borderId="56" xfId="0" applyFont="1" applyFill="1" applyBorder="1" applyAlignment="1" applyProtection="1">
      <alignment horizontal="center" vertical="center"/>
    </xf>
    <xf numFmtId="0" fontId="5" fillId="0" borderId="57" xfId="0" applyFont="1" applyBorder="1" applyAlignment="1" applyProtection="1">
      <alignment horizontal="left" vertical="center" indent="1"/>
    </xf>
    <xf numFmtId="0" fontId="5" fillId="0" borderId="60" xfId="0" applyFont="1" applyBorder="1" applyAlignment="1" applyProtection="1">
      <alignment horizontal="left" vertical="center" indent="1"/>
    </xf>
    <xf numFmtId="9" fontId="0" fillId="0" borderId="58" xfId="0" applyNumberFormat="1" applyFont="1" applyBorder="1" applyAlignment="1" applyProtection="1">
      <alignment horizontal="right" vertical="center" indent="1"/>
    </xf>
    <xf numFmtId="9" fontId="0" fillId="0" borderId="61" xfId="0" applyNumberFormat="1" applyFont="1" applyBorder="1" applyAlignment="1" applyProtection="1">
      <alignment horizontal="right" vertical="center" indent="1"/>
    </xf>
    <xf numFmtId="9" fontId="0" fillId="0" borderId="59" xfId="0" applyNumberFormat="1" applyFont="1" applyBorder="1" applyAlignment="1" applyProtection="1">
      <alignment horizontal="right" vertical="center" indent="1"/>
    </xf>
    <xf numFmtId="9" fontId="0" fillId="0" borderId="62" xfId="0" applyNumberFormat="1" applyFont="1" applyBorder="1" applyAlignment="1" applyProtection="1">
      <alignment horizontal="right" vertical="center" indent="1"/>
    </xf>
    <xf numFmtId="0" fontId="13" fillId="0" borderId="58" xfId="0" applyFont="1" applyBorder="1" applyAlignment="1" applyProtection="1">
      <alignment horizontal="left" vertical="center" indent="1"/>
    </xf>
    <xf numFmtId="0" fontId="13" fillId="6" borderId="66" xfId="0" applyFont="1" applyFill="1" applyBorder="1" applyAlignment="1" applyProtection="1">
      <alignment horizontal="center" vertical="center"/>
    </xf>
    <xf numFmtId="0" fontId="14" fillId="6" borderId="67" xfId="0" applyFont="1" applyFill="1" applyBorder="1" applyAlignment="1" applyProtection="1">
      <alignment horizontal="center" vertical="center"/>
    </xf>
    <xf numFmtId="0" fontId="14" fillId="6" borderId="73" xfId="0" applyFont="1" applyFill="1" applyBorder="1" applyAlignment="1" applyProtection="1">
      <alignment horizontal="center" vertical="center"/>
    </xf>
    <xf numFmtId="0" fontId="14" fillId="6" borderId="74" xfId="0" applyFont="1" applyFill="1" applyBorder="1" applyAlignment="1" applyProtection="1">
      <alignment horizontal="center" vertical="center"/>
    </xf>
    <xf numFmtId="0" fontId="14" fillId="6" borderId="72" xfId="0" applyFont="1" applyFill="1" applyBorder="1" applyAlignment="1" applyProtection="1">
      <alignment horizontal="center" vertical="center"/>
    </xf>
    <xf numFmtId="0" fontId="14" fillId="6" borderId="77" xfId="0" applyFont="1" applyFill="1" applyBorder="1" applyAlignment="1" applyProtection="1">
      <alignment horizontal="center" vertical="center"/>
    </xf>
    <xf numFmtId="0" fontId="14" fillId="6" borderId="78" xfId="0" applyFont="1" applyFill="1" applyBorder="1" applyAlignment="1" applyProtection="1">
      <alignment horizontal="center" vertical="center"/>
    </xf>
    <xf numFmtId="0" fontId="14" fillId="6" borderId="79" xfId="0" applyFont="1" applyFill="1" applyBorder="1" applyAlignment="1" applyProtection="1">
      <alignment horizontal="center" vertical="center"/>
    </xf>
    <xf numFmtId="0" fontId="14" fillId="6" borderId="80" xfId="0" applyFont="1" applyFill="1" applyBorder="1" applyAlignment="1" applyProtection="1">
      <alignment horizontal="center" vertical="center"/>
    </xf>
    <xf numFmtId="0" fontId="14" fillId="6" borderId="76" xfId="0" applyFont="1" applyFill="1" applyBorder="1" applyAlignment="1" applyProtection="1">
      <alignment horizontal="center" vertical="center"/>
    </xf>
    <xf numFmtId="0" fontId="13" fillId="0" borderId="81" xfId="0" applyFont="1" applyBorder="1" applyAlignment="1" applyProtection="1">
      <alignment horizontal="center" vertical="center"/>
    </xf>
    <xf numFmtId="0" fontId="13" fillId="0" borderId="82" xfId="0" applyFont="1" applyBorder="1" applyAlignment="1" applyProtection="1">
      <alignment horizontal="center" vertical="center"/>
    </xf>
    <xf numFmtId="0" fontId="13" fillId="0" borderId="82" xfId="0" applyFont="1" applyBorder="1" applyAlignment="1" applyProtection="1">
      <alignment horizontal="left" vertical="center" indent="1"/>
    </xf>
    <xf numFmtId="0" fontId="13" fillId="0" borderId="83" xfId="0" applyFont="1" applyBorder="1" applyAlignment="1" applyProtection="1">
      <alignment horizontal="center" vertical="center"/>
    </xf>
    <xf numFmtId="0" fontId="13" fillId="0" borderId="84" xfId="0" applyFont="1" applyBorder="1" applyAlignment="1" applyProtection="1">
      <alignment horizontal="center" vertical="center"/>
    </xf>
    <xf numFmtId="0" fontId="13" fillId="0" borderId="85" xfId="0" applyFont="1" applyBorder="1" applyAlignment="1" applyProtection="1">
      <alignment horizontal="center" vertical="center"/>
    </xf>
    <xf numFmtId="0" fontId="13" fillId="0" borderId="85" xfId="0" applyFont="1" applyBorder="1" applyAlignment="1" applyProtection="1">
      <alignment horizontal="left" vertical="center" indent="1"/>
    </xf>
    <xf numFmtId="0" fontId="13" fillId="0" borderId="86" xfId="0" applyFont="1" applyBorder="1" applyAlignment="1" applyProtection="1">
      <alignment horizontal="center" vertical="center"/>
    </xf>
    <xf numFmtId="0" fontId="13" fillId="0" borderId="87" xfId="0" applyFont="1" applyBorder="1" applyAlignment="1" applyProtection="1">
      <alignment horizontal="center" vertical="center"/>
    </xf>
    <xf numFmtId="0" fontId="13" fillId="0" borderId="88" xfId="0" applyFont="1" applyBorder="1" applyAlignment="1" applyProtection="1">
      <alignment horizontal="center" vertical="center"/>
    </xf>
    <xf numFmtId="0" fontId="13" fillId="0" borderId="88" xfId="0" applyFont="1" applyBorder="1" applyAlignment="1" applyProtection="1">
      <alignment horizontal="left" vertical="center" indent="1"/>
    </xf>
    <xf numFmtId="0" fontId="13" fillId="0" borderId="89" xfId="0" applyFont="1" applyBorder="1" applyAlignment="1" applyProtection="1">
      <alignment horizontal="center" vertical="center"/>
    </xf>
    <xf numFmtId="14" fontId="13" fillId="0" borderId="84" xfId="0" applyNumberFormat="1" applyFont="1" applyBorder="1" applyAlignment="1" applyProtection="1">
      <alignment horizontal="center" vertical="center"/>
    </xf>
    <xf numFmtId="0" fontId="5" fillId="5" borderId="31" xfId="0" applyFont="1" applyFill="1" applyBorder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/>
    </xf>
    <xf numFmtId="0" fontId="0" fillId="0" borderId="73" xfId="0" applyFont="1" applyBorder="1" applyAlignment="1" applyProtection="1">
      <alignment horizontal="center" vertical="center"/>
    </xf>
    <xf numFmtId="0" fontId="0" fillId="0" borderId="74" xfId="0" applyFont="1" applyBorder="1" applyAlignment="1" applyProtection="1">
      <alignment horizontal="center" vertical="center"/>
    </xf>
    <xf numFmtId="0" fontId="0" fillId="0" borderId="91" xfId="0" applyFont="1" applyBorder="1" applyAlignment="1" applyProtection="1">
      <alignment horizontal="center" vertical="center"/>
    </xf>
    <xf numFmtId="0" fontId="0" fillId="0" borderId="92" xfId="0" applyFont="1" applyBorder="1" applyAlignment="1" applyProtection="1">
      <alignment horizontal="center" vertical="center"/>
    </xf>
    <xf numFmtId="0" fontId="0" fillId="0" borderId="93" xfId="0" applyFont="1" applyBorder="1" applyAlignment="1" applyProtection="1">
      <alignment horizontal="center" vertical="center"/>
    </xf>
    <xf numFmtId="0" fontId="5" fillId="5" borderId="96" xfId="0" applyFont="1" applyFill="1" applyBorder="1" applyAlignment="1" applyProtection="1">
      <alignment horizontal="center" vertical="center"/>
    </xf>
    <xf numFmtId="0" fontId="5" fillId="5" borderId="90" xfId="0" applyFont="1" applyFill="1" applyBorder="1" applyAlignment="1" applyProtection="1">
      <alignment horizontal="center" vertical="center"/>
    </xf>
    <xf numFmtId="0" fontId="5" fillId="5" borderId="76" xfId="0" applyFont="1" applyFill="1" applyBorder="1" applyAlignment="1" applyProtection="1">
      <alignment horizontal="center" vertical="center"/>
    </xf>
    <xf numFmtId="0" fontId="5" fillId="5" borderId="77" xfId="0" applyFont="1" applyFill="1" applyBorder="1" applyAlignment="1" applyProtection="1">
      <alignment horizontal="center" vertical="center"/>
    </xf>
    <xf numFmtId="0" fontId="5" fillId="5" borderId="97" xfId="0" applyFont="1" applyFill="1" applyBorder="1" applyAlignment="1" applyProtection="1">
      <alignment horizontal="center" vertical="center"/>
    </xf>
    <xf numFmtId="0" fontId="5" fillId="5" borderId="98" xfId="0" applyFont="1" applyFill="1" applyBorder="1" applyAlignment="1" applyProtection="1">
      <alignment horizontal="center" vertical="center"/>
    </xf>
    <xf numFmtId="0" fontId="5" fillId="5" borderId="99" xfId="0" applyFont="1" applyFill="1" applyBorder="1" applyAlignment="1" applyProtection="1">
      <alignment horizontal="center" vertical="center"/>
    </xf>
    <xf numFmtId="0" fontId="5" fillId="5" borderId="100" xfId="0" applyFont="1" applyFill="1" applyBorder="1" applyAlignment="1" applyProtection="1">
      <alignment horizontal="center" vertical="center"/>
    </xf>
    <xf numFmtId="0" fontId="5" fillId="5" borderId="101" xfId="0" applyFont="1" applyFill="1" applyBorder="1" applyAlignment="1" applyProtection="1">
      <alignment horizontal="center" vertical="center"/>
    </xf>
    <xf numFmtId="0" fontId="5" fillId="5" borderId="102" xfId="0" applyFont="1" applyFill="1" applyBorder="1" applyAlignment="1" applyProtection="1">
      <alignment horizontal="center" vertical="center"/>
    </xf>
    <xf numFmtId="0" fontId="5" fillId="5" borderId="103" xfId="0" applyFont="1" applyFill="1" applyBorder="1" applyAlignment="1" applyProtection="1">
      <alignment horizontal="center" vertical="center"/>
    </xf>
    <xf numFmtId="0" fontId="5" fillId="5" borderId="104" xfId="0" applyFont="1" applyFill="1" applyBorder="1" applyAlignment="1" applyProtection="1">
      <alignment horizontal="center" vertical="center"/>
    </xf>
    <xf numFmtId="0" fontId="5" fillId="5" borderId="108" xfId="0" applyFont="1" applyFill="1" applyBorder="1" applyAlignment="1" applyProtection="1">
      <alignment horizontal="center" vertical="center" wrapText="1"/>
    </xf>
    <xf numFmtId="0" fontId="5" fillId="5" borderId="110" xfId="0" applyFont="1" applyFill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11" fillId="0" borderId="0" xfId="0" applyFont="1" applyAlignment="1" applyProtection="1">
      <alignment horizontal="left" vertical="center" wrapText="1"/>
    </xf>
    <xf numFmtId="0" fontId="5" fillId="5" borderId="106" xfId="0" applyFont="1" applyFill="1" applyBorder="1" applyAlignment="1" applyProtection="1">
      <alignment horizontal="center" vertical="center" wrapText="1"/>
    </xf>
    <xf numFmtId="0" fontId="0" fillId="0" borderId="25" xfId="0" applyFont="1" applyBorder="1" applyAlignment="1" applyProtection="1">
      <alignment horizontal="center" vertical="center" wrapText="1"/>
    </xf>
    <xf numFmtId="0" fontId="0" fillId="0" borderId="26" xfId="0" applyFont="1" applyBorder="1" applyAlignment="1" applyProtection="1">
      <alignment horizontal="center" vertical="center" wrapText="1"/>
    </xf>
    <xf numFmtId="0" fontId="0" fillId="0" borderId="27" xfId="0" applyFont="1" applyBorder="1" applyAlignment="1" applyProtection="1">
      <alignment horizontal="center" vertical="center" wrapText="1"/>
    </xf>
    <xf numFmtId="0" fontId="0" fillId="0" borderId="28" xfId="0" applyFont="1" applyBorder="1" applyAlignment="1" applyProtection="1">
      <alignment horizontal="center" vertical="center" wrapText="1"/>
    </xf>
    <xf numFmtId="0" fontId="0" fillId="0" borderId="24" xfId="0" applyFont="1" applyBorder="1" applyAlignment="1" applyProtection="1">
      <alignment horizontal="center" vertical="center" wrapText="1"/>
    </xf>
    <xf numFmtId="0" fontId="0" fillId="0" borderId="29" xfId="0" applyFont="1" applyBorder="1" applyAlignment="1" applyProtection="1">
      <alignment horizontal="center" vertical="center" wrapText="1"/>
    </xf>
    <xf numFmtId="0" fontId="5" fillId="5" borderId="111" xfId="0" applyFont="1" applyFill="1" applyBorder="1" applyAlignment="1" applyProtection="1">
      <alignment horizontal="center" vertical="center" wrapText="1"/>
    </xf>
    <xf numFmtId="0" fontId="5" fillId="5" borderId="112" xfId="0" applyFont="1" applyFill="1" applyBorder="1" applyAlignment="1" applyProtection="1">
      <alignment horizontal="center" vertical="center" wrapText="1"/>
    </xf>
    <xf numFmtId="14" fontId="5" fillId="5" borderId="112" xfId="0" applyNumberFormat="1" applyFont="1" applyFill="1" applyBorder="1" applyAlignment="1" applyProtection="1">
      <alignment horizontal="center" vertical="center" wrapText="1"/>
    </xf>
    <xf numFmtId="0" fontId="5" fillId="5" borderId="113" xfId="0" applyFont="1" applyFill="1" applyBorder="1" applyAlignment="1" applyProtection="1">
      <alignment horizontal="center" vertical="center" wrapText="1"/>
    </xf>
    <xf numFmtId="0" fontId="7" fillId="2" borderId="0" xfId="2" applyFont="1" applyFill="1" applyBorder="1" applyAlignment="1">
      <alignment horizontal="center" vertical="center" wrapText="1"/>
    </xf>
    <xf numFmtId="0" fontId="9" fillId="5" borderId="21" xfId="0" applyFont="1" applyFill="1" applyBorder="1" applyAlignment="1" applyProtection="1">
      <alignment horizontal="center" vertical="center"/>
    </xf>
    <xf numFmtId="0" fontId="9" fillId="5" borderId="22" xfId="0" applyFont="1" applyFill="1" applyBorder="1" applyAlignment="1" applyProtection="1">
      <alignment horizontal="center" vertical="center"/>
    </xf>
    <xf numFmtId="0" fontId="9" fillId="5" borderId="23" xfId="0" applyFont="1" applyFill="1" applyBorder="1" applyAlignment="1" applyProtection="1">
      <alignment horizontal="center" vertical="center"/>
    </xf>
    <xf numFmtId="0" fontId="5" fillId="5" borderId="11" xfId="0" applyFont="1" applyFill="1" applyBorder="1" applyAlignment="1" applyProtection="1">
      <alignment horizontal="center" vertical="center"/>
    </xf>
    <xf numFmtId="0" fontId="5" fillId="5" borderId="12" xfId="0" applyFont="1" applyFill="1" applyBorder="1" applyAlignment="1" applyProtection="1">
      <alignment horizontal="center" vertical="center"/>
    </xf>
    <xf numFmtId="0" fontId="5" fillId="5" borderId="9" xfId="0" applyFont="1" applyFill="1" applyBorder="1" applyAlignment="1" applyProtection="1">
      <alignment horizontal="center" vertical="center"/>
    </xf>
    <xf numFmtId="0" fontId="5" fillId="5" borderId="5" xfId="0" applyFont="1" applyFill="1" applyBorder="1" applyAlignment="1" applyProtection="1">
      <alignment horizontal="center" vertical="center"/>
    </xf>
    <xf numFmtId="0" fontId="5" fillId="5" borderId="3" xfId="0" applyFont="1" applyFill="1" applyBorder="1" applyAlignment="1" applyProtection="1">
      <alignment horizontal="center" vertical="center"/>
    </xf>
    <xf numFmtId="0" fontId="5" fillId="5" borderId="31" xfId="0" applyFont="1" applyFill="1" applyBorder="1" applyAlignment="1" applyProtection="1">
      <alignment horizontal="center" vertical="center"/>
    </xf>
    <xf numFmtId="0" fontId="5" fillId="5" borderId="10" xfId="0" applyFont="1" applyFill="1" applyBorder="1" applyAlignment="1" applyProtection="1">
      <alignment horizontal="center" vertical="center"/>
    </xf>
    <xf numFmtId="0" fontId="5" fillId="5" borderId="2" xfId="0" applyFont="1" applyFill="1" applyBorder="1" applyAlignment="1" applyProtection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Font="1" applyAlignment="1" applyProtection="1">
      <alignment horizontal="center" vertical="center"/>
    </xf>
    <xf numFmtId="0" fontId="5" fillId="5" borderId="47" xfId="0" applyFont="1" applyFill="1" applyBorder="1" applyAlignment="1" applyProtection="1">
      <alignment horizontal="center" vertical="center"/>
    </xf>
    <xf numFmtId="0" fontId="5" fillId="5" borderId="41" xfId="0" applyFont="1" applyFill="1" applyBorder="1" applyAlignment="1" applyProtection="1">
      <alignment horizontal="center" vertical="center"/>
    </xf>
    <xf numFmtId="0" fontId="5" fillId="5" borderId="51" xfId="0" applyFont="1" applyFill="1" applyBorder="1" applyAlignment="1" applyProtection="1">
      <alignment horizontal="center" vertical="center"/>
    </xf>
    <xf numFmtId="0" fontId="5" fillId="5" borderId="40" xfId="0" applyFont="1" applyFill="1" applyBorder="1" applyAlignment="1" applyProtection="1">
      <alignment horizontal="center" vertical="center"/>
    </xf>
    <xf numFmtId="0" fontId="5" fillId="5" borderId="52" xfId="0" applyFont="1" applyFill="1" applyBorder="1" applyAlignment="1" applyProtection="1">
      <alignment horizontal="center" vertical="center"/>
    </xf>
    <xf numFmtId="0" fontId="5" fillId="5" borderId="54" xfId="0" applyFont="1" applyFill="1" applyBorder="1" applyAlignment="1" applyProtection="1">
      <alignment horizontal="center" vertical="center"/>
    </xf>
    <xf numFmtId="0" fontId="5" fillId="5" borderId="76" xfId="0" applyFont="1" applyFill="1" applyBorder="1" applyAlignment="1" applyProtection="1">
      <alignment horizontal="center" vertical="center"/>
    </xf>
    <xf numFmtId="0" fontId="5" fillId="5" borderId="77" xfId="0" applyFont="1" applyFill="1" applyBorder="1" applyAlignment="1" applyProtection="1">
      <alignment horizontal="center" vertical="center"/>
    </xf>
    <xf numFmtId="0" fontId="5" fillId="5" borderId="94" xfId="0" applyFont="1" applyFill="1" applyBorder="1" applyAlignment="1" applyProtection="1">
      <alignment horizontal="center" vertical="center"/>
    </xf>
    <xf numFmtId="0" fontId="5" fillId="5" borderId="72" xfId="0" applyFont="1" applyFill="1" applyBorder="1" applyAlignment="1" applyProtection="1">
      <alignment horizontal="center" vertical="center"/>
    </xf>
    <xf numFmtId="0" fontId="5" fillId="5" borderId="4" xfId="0" applyFont="1" applyFill="1" applyBorder="1" applyAlignment="1" applyProtection="1">
      <alignment horizontal="center" vertical="center"/>
    </xf>
    <xf numFmtId="0" fontId="5" fillId="5" borderId="1" xfId="0" applyFont="1" applyFill="1" applyBorder="1" applyAlignment="1" applyProtection="1">
      <alignment horizontal="center" vertical="center"/>
    </xf>
    <xf numFmtId="0" fontId="5" fillId="5" borderId="95" xfId="0" applyFont="1" applyFill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/>
    </xf>
    <xf numFmtId="0" fontId="14" fillId="6" borderId="4" xfId="0" applyFont="1" applyFill="1" applyBorder="1" applyAlignment="1" applyProtection="1">
      <alignment horizontal="center" vertical="center"/>
    </xf>
    <xf numFmtId="0" fontId="14" fillId="6" borderId="41" xfId="0" applyFont="1" applyFill="1" applyBorder="1" applyAlignment="1" applyProtection="1">
      <alignment horizontal="center" vertical="center"/>
    </xf>
    <xf numFmtId="0" fontId="14" fillId="6" borderId="3" xfId="0" applyFont="1" applyFill="1" applyBorder="1" applyAlignment="1" applyProtection="1">
      <alignment horizontal="center" vertical="center"/>
    </xf>
    <xf numFmtId="0" fontId="14" fillId="6" borderId="75" xfId="0" applyFont="1" applyFill="1" applyBorder="1" applyAlignment="1" applyProtection="1">
      <alignment horizontal="center" vertical="center"/>
    </xf>
    <xf numFmtId="0" fontId="14" fillId="6" borderId="0" xfId="0" applyFont="1" applyFill="1" applyBorder="1" applyAlignment="1" applyProtection="1">
      <alignment horizontal="center" vertical="center"/>
    </xf>
    <xf numFmtId="0" fontId="14" fillId="6" borderId="69" xfId="0" applyFont="1" applyFill="1" applyBorder="1" applyAlignment="1" applyProtection="1">
      <alignment horizontal="center" vertical="center"/>
    </xf>
    <xf numFmtId="0" fontId="14" fillId="6" borderId="2" xfId="0" applyFont="1" applyFill="1" applyBorder="1" applyAlignment="1" applyProtection="1">
      <alignment horizontal="center" vertical="center"/>
    </xf>
    <xf numFmtId="0" fontId="15" fillId="6" borderId="4" xfId="0" applyFont="1" applyFill="1" applyBorder="1" applyAlignment="1" applyProtection="1">
      <alignment horizontal="center" vertical="center"/>
    </xf>
    <xf numFmtId="0" fontId="15" fillId="6" borderId="68" xfId="0" applyFont="1" applyFill="1" applyBorder="1" applyAlignment="1" applyProtection="1">
      <alignment horizontal="center" vertical="center"/>
    </xf>
    <xf numFmtId="0" fontId="15" fillId="6" borderId="1" xfId="0" applyFont="1" applyFill="1" applyBorder="1" applyAlignment="1" applyProtection="1">
      <alignment horizontal="center" vertical="center"/>
    </xf>
    <xf numFmtId="0" fontId="15" fillId="6" borderId="69" xfId="0" applyFont="1" applyFill="1" applyBorder="1" applyAlignment="1" applyProtection="1">
      <alignment horizontal="center" vertical="center"/>
    </xf>
    <xf numFmtId="0" fontId="15" fillId="6" borderId="6" xfId="0" applyFont="1" applyFill="1" applyBorder="1" applyAlignment="1" applyProtection="1">
      <alignment horizontal="center" vertical="center"/>
    </xf>
    <xf numFmtId="0" fontId="15" fillId="6" borderId="70" xfId="0" applyFont="1" applyFill="1" applyBorder="1" applyAlignment="1" applyProtection="1">
      <alignment horizontal="center" vertical="center"/>
    </xf>
    <xf numFmtId="0" fontId="14" fillId="6" borderId="71" xfId="0" applyFont="1" applyFill="1" applyBorder="1" applyAlignment="1" applyProtection="1">
      <alignment horizontal="center" vertical="center"/>
    </xf>
    <xf numFmtId="0" fontId="14" fillId="6" borderId="68" xfId="0" applyFont="1" applyFill="1" applyBorder="1" applyAlignment="1" applyProtection="1">
      <alignment horizontal="center" vertical="center"/>
    </xf>
    <xf numFmtId="0" fontId="14" fillId="6" borderId="1" xfId="0" applyFont="1" applyFill="1" applyBorder="1" applyAlignment="1" applyProtection="1">
      <alignment horizontal="center" vertical="center"/>
    </xf>
    <xf numFmtId="0" fontId="15" fillId="6" borderId="44" xfId="0" applyFont="1" applyFill="1" applyBorder="1" applyAlignment="1" applyProtection="1">
      <alignment horizontal="center" vertical="center"/>
    </xf>
    <xf numFmtId="0" fontId="15" fillId="6" borderId="45" xfId="0" applyFont="1" applyFill="1" applyBorder="1" applyAlignment="1" applyProtection="1">
      <alignment horizontal="center" vertical="center"/>
    </xf>
    <xf numFmtId="0" fontId="15" fillId="6" borderId="46" xfId="0" applyFont="1" applyFill="1" applyBorder="1" applyAlignment="1" applyProtection="1">
      <alignment horizontal="center" vertical="center"/>
    </xf>
    <xf numFmtId="0" fontId="14" fillId="6" borderId="47" xfId="0" applyFont="1" applyFill="1" applyBorder="1" applyAlignment="1" applyProtection="1">
      <alignment horizontal="center" vertical="center"/>
    </xf>
    <xf numFmtId="0" fontId="14" fillId="6" borderId="51" xfId="0" applyFont="1" applyFill="1" applyBorder="1" applyAlignment="1" applyProtection="1">
      <alignment horizontal="center" vertical="center"/>
    </xf>
    <xf numFmtId="0" fontId="14" fillId="6" borderId="44" xfId="0" applyFont="1" applyFill="1" applyBorder="1" applyAlignment="1" applyProtection="1">
      <alignment horizontal="center" vertical="center"/>
    </xf>
    <xf numFmtId="0" fontId="14" fillId="6" borderId="45" xfId="0" applyFont="1" applyFill="1" applyBorder="1" applyAlignment="1" applyProtection="1">
      <alignment horizontal="center" vertical="center"/>
    </xf>
    <xf numFmtId="0" fontId="5" fillId="5" borderId="105" xfId="0" applyFont="1" applyFill="1" applyBorder="1" applyAlignment="1" applyProtection="1">
      <alignment horizontal="center" vertical="center" wrapText="1"/>
    </xf>
    <xf numFmtId="0" fontId="5" fillId="5" borderId="107" xfId="0" applyFont="1" applyFill="1" applyBorder="1" applyAlignment="1" applyProtection="1">
      <alignment horizontal="center" vertical="center" wrapText="1"/>
    </xf>
    <xf numFmtId="0" fontId="5" fillId="5" borderId="109" xfId="0" applyFont="1" applyFill="1" applyBorder="1" applyAlignment="1" applyProtection="1">
      <alignment horizontal="center" vertical="center" wrapText="1"/>
    </xf>
    <xf numFmtId="9" fontId="0" fillId="0" borderId="28" xfId="0" applyNumberFormat="1" applyFont="1" applyBorder="1" applyAlignment="1" applyProtection="1">
      <alignment horizontal="right" vertical="center" wrapText="1"/>
    </xf>
    <xf numFmtId="9" fontId="0" fillId="0" borderId="24" xfId="0" applyNumberFormat="1" applyFont="1" applyBorder="1" applyAlignment="1" applyProtection="1">
      <alignment horizontal="right" vertical="center" wrapText="1"/>
    </xf>
    <xf numFmtId="9" fontId="0" fillId="0" borderId="29" xfId="0" applyNumberFormat="1" applyFont="1" applyBorder="1" applyAlignment="1" applyProtection="1">
      <alignment horizontal="right" vertical="center" wrapText="1"/>
    </xf>
    <xf numFmtId="9" fontId="0" fillId="0" borderId="30" xfId="0" applyNumberFormat="1" applyFont="1" applyBorder="1" applyAlignment="1" applyProtection="1">
      <alignment horizontal="right" vertical="center" wrapText="1"/>
    </xf>
    <xf numFmtId="9" fontId="0" fillId="0" borderId="66" xfId="0" applyNumberFormat="1" applyFont="1" applyBorder="1" applyAlignment="1" applyProtection="1">
      <alignment horizontal="right" vertical="center" wrapText="1"/>
    </xf>
    <xf numFmtId="9" fontId="0" fillId="0" borderId="67" xfId="0" applyNumberFormat="1" applyFont="1" applyBorder="1" applyAlignment="1" applyProtection="1">
      <alignment horizontal="right" vertical="center" wrapText="1"/>
    </xf>
  </cellXfs>
  <cellStyles count="5">
    <cellStyle name="Normal" xfId="1" xr:uid="{00000000-0005-0000-0000-000000000000}"/>
    <cellStyle name="Prozent 2" xfId="3" xr:uid="{00000000-0005-0000-0000-000001000000}"/>
    <cellStyle name="Standard" xfId="0" builtinId="0"/>
    <cellStyle name="Standard 2" xfId="2" xr:uid="{00000000-0005-0000-0000-000003000000}"/>
    <cellStyle name="Standard 6" xfId="4" xr:uid="{00000000-0005-0000-0000-000004000000}"/>
  </cellStyles>
  <dxfs count="0"/>
  <tableStyles count="0" defaultTableStyle="TableStyleMedium2" defaultPivotStyle="PivotStyleLight16"/>
  <colors>
    <mruColors>
      <color rgb="FFFF5050"/>
      <color rgb="FFA5A5A5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417245934777286E-2"/>
          <c:y val="4.8929663608562692E-2"/>
          <c:w val="0.97908093949962072"/>
          <c:h val="0.877675840978593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50000"/>
              </a:schemeClr>
            </a:solidFill>
            <a:ln>
              <a:noFill/>
            </a:ln>
            <a:effectLst>
              <a:glow rad="12700">
                <a:schemeClr val="bg1">
                  <a:alpha val="20000"/>
                </a:schemeClr>
              </a:glow>
              <a:outerShdw blurRad="76200" dir="19500000" sy="23000" kx="-1200000" algn="bl" rotWithShape="0">
                <a:prstClr val="black">
                  <a:alpha val="20000"/>
                </a:prstClr>
              </a:outerShdw>
              <a:softEdge rad="0"/>
            </a:effectLst>
            <a:scene3d>
              <a:camera prst="orthographicFront"/>
              <a:lightRig rig="soft" dir="t"/>
            </a:scene3d>
          </c:spPr>
          <c:invertIfNegative val="0"/>
          <c:cat>
            <c:numRef>
              <c:f>Info!$A$9:$A$12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</c:numCache>
            </c:numRef>
          </c:cat>
          <c:val>
            <c:numRef>
              <c:f>Info!$A$9:$A$12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07-4C8F-98AC-CDB814B0D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9101704"/>
        <c:axId val="149311800"/>
      </c:barChart>
      <c:catAx>
        <c:axId val="219101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9311800"/>
        <c:crosses val="autoZero"/>
        <c:auto val="1"/>
        <c:lblAlgn val="ctr"/>
        <c:lblOffset val="100"/>
        <c:noMultiLvlLbl val="0"/>
      </c:catAx>
      <c:valAx>
        <c:axId val="1493118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9101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1891978</xdr:colOff>
      <xdr:row>7</xdr:row>
      <xdr:rowOff>1333500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923925"/>
          <a:ext cx="1891978" cy="2476500"/>
        </a:xfrm>
        <a:prstGeom prst="rect">
          <a:avLst/>
        </a:prstGeom>
        <a:ln>
          <a:noFill/>
        </a:ln>
        <a:effectLst>
          <a:outerShdw blurRad="215900" dist="2540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</xdr:col>
      <xdr:colOff>9525</xdr:colOff>
      <xdr:row>0</xdr:row>
      <xdr:rowOff>828675</xdr:rowOff>
    </xdr:from>
    <xdr:to>
      <xdr:col>3</xdr:col>
      <xdr:colOff>4133850</xdr:colOff>
      <xdr:row>0</xdr:row>
      <xdr:rowOff>828675</xdr:rowOff>
    </xdr:to>
    <xdr:cxnSp macro="">
      <xdr:nvCxnSpPr>
        <xdr:cNvPr id="3" name="Gerader Verbind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228600" y="828675"/>
          <a:ext cx="8534400" cy="0"/>
        </a:xfrm>
        <a:prstGeom prst="line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7</xdr:row>
      <xdr:rowOff>1504950</xdr:rowOff>
    </xdr:from>
    <xdr:to>
      <xdr:col>3</xdr:col>
      <xdr:colOff>4114800</xdr:colOff>
      <xdr:row>7</xdr:row>
      <xdr:rowOff>1504950</xdr:rowOff>
    </xdr:to>
    <xdr:cxnSp macro="">
      <xdr:nvCxnSpPr>
        <xdr:cNvPr id="4" name="Gerader Verbinde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209550" y="3590925"/>
          <a:ext cx="8534400" cy="0"/>
        </a:xfrm>
        <a:prstGeom prst="line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1771651</xdr:colOff>
      <xdr:row>7</xdr:row>
      <xdr:rowOff>1371600</xdr:rowOff>
    </xdr:from>
    <xdr:to>
      <xdr:col>5</xdr:col>
      <xdr:colOff>0</xdr:colOff>
      <xdr:row>12</xdr:row>
      <xdr:rowOff>28575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57150</xdr:colOff>
      <xdr:row>7</xdr:row>
      <xdr:rowOff>47625</xdr:rowOff>
    </xdr:from>
    <xdr:to>
      <xdr:col>3</xdr:col>
      <xdr:colOff>4095750</xdr:colOff>
      <xdr:row>7</xdr:row>
      <xdr:rowOff>352425</xdr:rowOff>
    </xdr:to>
    <xdr:sp macro="" textlink="">
      <xdr:nvSpPr>
        <xdr:cNvPr id="20483" name="btn_report_import" hidden="1">
          <a:extLst>
            <a:ext uri="{63B3BB69-23CF-44E3-9099-C40C66FF867C}">
              <a14:compatExt xmlns:a14="http://schemas.microsoft.com/office/drawing/2010/main" spid="_x0000_s20483"/>
            </a:ext>
            <a:ext uri="{FF2B5EF4-FFF2-40B4-BE49-F238E27FC236}">
              <a16:creationId xmlns:a16="http://schemas.microsoft.com/office/drawing/2014/main" id="{00000000-0008-0000-0000-0000035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ir%20E%20St/St%20F&#252;U/12%20Datenerfassung/00%20Kr&#228;ftesteuerung/06%20Ablage%20Konzeptionen/02%20Erfassungsliste%20KoSt/00%20Erfassungsliste%20Konzeptionen%20St%20F&#252;U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onzeptionen gem. LKA St 12"/>
      <sheetName val="Konzeptionen gem. PPr St II 4"/>
      <sheetName val="Pivot LKA"/>
      <sheetName val="Pivot LKA Sockel"/>
      <sheetName val="Pivot VSA"/>
      <sheetName val="Pivot VSA Sockel"/>
      <sheetName val="Quartalsansicht LKA"/>
      <sheetName val="Quartalsansicht VSA"/>
      <sheetName val="ohne Prio"/>
      <sheetName val="Katalog"/>
      <sheetName val="Auswertung KB"/>
      <sheetName val="Monatsansicht VSA"/>
      <sheetName val="Pivot"/>
      <sheetName val="Auswertung Prio"/>
      <sheetName val="Monatsansicht LKA"/>
      <sheetName val="Auswertung VSA"/>
      <sheetName val="00 Erfassungsliste Konzeptionen"/>
      <sheetName val="Konzeptionen gem.PPr St II 4"/>
      <sheetName val="Konzeptionen gem.  PPr St II 4"/>
    </sheetNames>
    <sheetDataSet>
      <sheetData sheetId="0" refreshError="1">
        <row r="1">
          <cell r="A1">
            <v>0</v>
          </cell>
          <cell r="B1">
            <v>0</v>
          </cell>
          <cell r="C1">
            <v>0</v>
          </cell>
          <cell r="D1">
            <v>0</v>
          </cell>
          <cell r="E1">
            <v>0</v>
          </cell>
          <cell r="F1">
            <v>0</v>
          </cell>
          <cell r="G1" t="str">
            <v>Örtlichkeit</v>
          </cell>
          <cell r="H1">
            <v>0</v>
          </cell>
          <cell r="I1">
            <v>0</v>
          </cell>
          <cell r="J1">
            <v>0</v>
          </cell>
          <cell r="K1">
            <v>0</v>
          </cell>
          <cell r="L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Q1">
            <v>0</v>
          </cell>
          <cell r="R1">
            <v>0</v>
          </cell>
        </row>
        <row r="2">
          <cell r="B2" t="str">
            <v>Einsatzzahl</v>
          </cell>
          <cell r="C2" t="str">
            <v>Priorität</v>
          </cell>
          <cell r="D2" t="str">
            <v>Eingang
bei St FüU
(Datum)</v>
          </cell>
          <cell r="E2" t="str">
            <v>Einstellung im
Einsatzkalender
(Datum)</v>
          </cell>
          <cell r="F2" t="str">
            <v>einreichende
Dst.</v>
          </cell>
          <cell r="G2" t="str">
            <v>Dir 1</v>
          </cell>
          <cell r="H2" t="str">
            <v>Dir 2</v>
          </cell>
          <cell r="I2" t="str">
            <v>Dir 3</v>
          </cell>
          <cell r="J2" t="str">
            <v>Dir 4</v>
          </cell>
          <cell r="K2" t="str">
            <v>Dir 5</v>
          </cell>
          <cell r="L2" t="str">
            <v>Dir 6</v>
          </cell>
          <cell r="M2" t="str">
            <v>Gültigkeit
von</v>
          </cell>
          <cell r="N2" t="str">
            <v>Gültigkeit
bis</v>
          </cell>
          <cell r="O2" t="str">
            <v>Gültigkeits-
monat</v>
          </cell>
          <cell r="P2" t="str">
            <v>Sockelbetrag
(x wenn ja)</v>
          </cell>
          <cell r="Q2" t="str">
            <v>Einsatzanlass</v>
          </cell>
          <cell r="R2" t="str">
            <v>Bemerkung/Hinweise</v>
          </cell>
        </row>
        <row r="3">
          <cell r="B3" t="str">
            <v>16-01-8001</v>
          </cell>
          <cell r="C3">
            <v>2</v>
          </cell>
          <cell r="D3">
            <v>42384</v>
          </cell>
          <cell r="E3">
            <v>42384</v>
          </cell>
          <cell r="F3" t="str">
            <v>Dir 5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 t="str">
            <v>x</v>
          </cell>
          <cell r="L3">
            <v>0</v>
          </cell>
          <cell r="M3">
            <v>42384</v>
          </cell>
          <cell r="N3">
            <v>42400</v>
          </cell>
          <cell r="O3">
            <v>1</v>
          </cell>
          <cell r="P3">
            <v>0</v>
          </cell>
          <cell r="Q3" t="str">
            <v>kbO RAW</v>
          </cell>
          <cell r="R3">
            <v>0</v>
          </cell>
        </row>
        <row r="4">
          <cell r="B4" t="str">
            <v>16-01-8002</v>
          </cell>
          <cell r="C4">
            <v>2</v>
          </cell>
          <cell r="D4">
            <v>42384</v>
          </cell>
          <cell r="E4">
            <v>42384</v>
          </cell>
          <cell r="F4" t="str">
            <v>Dir 5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 t="str">
            <v>x</v>
          </cell>
          <cell r="L4">
            <v>0</v>
          </cell>
          <cell r="M4">
            <v>42384</v>
          </cell>
          <cell r="N4">
            <v>42400</v>
          </cell>
          <cell r="O4">
            <v>1</v>
          </cell>
          <cell r="P4">
            <v>0</v>
          </cell>
          <cell r="Q4" t="str">
            <v>Rigaer Str.</v>
          </cell>
          <cell r="R4">
            <v>0</v>
          </cell>
        </row>
        <row r="5">
          <cell r="B5" t="str">
            <v>16-01-8003</v>
          </cell>
          <cell r="C5">
            <v>2</v>
          </cell>
          <cell r="D5">
            <v>42384</v>
          </cell>
          <cell r="E5">
            <v>42384</v>
          </cell>
          <cell r="F5" t="str">
            <v>Dir 5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 t="str">
            <v>x</v>
          </cell>
          <cell r="L5">
            <v>0</v>
          </cell>
          <cell r="M5">
            <v>42384</v>
          </cell>
          <cell r="N5">
            <v>42400</v>
          </cell>
          <cell r="O5">
            <v>1</v>
          </cell>
          <cell r="P5">
            <v>0</v>
          </cell>
          <cell r="Q5" t="str">
            <v>kbO Görlitzer Park</v>
          </cell>
          <cell r="R5">
            <v>0</v>
          </cell>
        </row>
        <row r="6">
          <cell r="B6" t="str">
            <v>16-01-8004</v>
          </cell>
          <cell r="C6">
            <v>2</v>
          </cell>
          <cell r="D6">
            <v>42384</v>
          </cell>
          <cell r="E6">
            <v>42384</v>
          </cell>
          <cell r="F6" t="str">
            <v>Dir 3</v>
          </cell>
          <cell r="G6">
            <v>0</v>
          </cell>
          <cell r="H6">
            <v>0</v>
          </cell>
          <cell r="I6" t="str">
            <v>x</v>
          </cell>
          <cell r="J6">
            <v>0</v>
          </cell>
          <cell r="K6">
            <v>0</v>
          </cell>
          <cell r="L6">
            <v>0</v>
          </cell>
          <cell r="M6">
            <v>42384</v>
          </cell>
          <cell r="N6">
            <v>42400</v>
          </cell>
          <cell r="O6">
            <v>1</v>
          </cell>
          <cell r="P6">
            <v>0</v>
          </cell>
          <cell r="Q6" t="str">
            <v>Sichere Mitte</v>
          </cell>
          <cell r="R6">
            <v>0</v>
          </cell>
        </row>
        <row r="7">
          <cell r="B7" t="str">
            <v>16-01-8005</v>
          </cell>
          <cell r="C7">
            <v>3</v>
          </cell>
          <cell r="D7">
            <v>42384</v>
          </cell>
          <cell r="E7">
            <v>42384</v>
          </cell>
          <cell r="F7" t="str">
            <v>Dir 4</v>
          </cell>
          <cell r="G7">
            <v>0</v>
          </cell>
          <cell r="H7">
            <v>0</v>
          </cell>
          <cell r="I7">
            <v>0</v>
          </cell>
          <cell r="J7" t="str">
            <v>x</v>
          </cell>
          <cell r="K7">
            <v>0</v>
          </cell>
          <cell r="L7">
            <v>0</v>
          </cell>
          <cell r="M7">
            <v>42384</v>
          </cell>
          <cell r="N7">
            <v>42400</v>
          </cell>
          <cell r="O7">
            <v>1</v>
          </cell>
          <cell r="P7" t="str">
            <v>x</v>
          </cell>
          <cell r="Q7" t="str">
            <v>Wohnraumeinbruch A 47</v>
          </cell>
          <cell r="R7">
            <v>0</v>
          </cell>
        </row>
        <row r="8">
          <cell r="B8" t="str">
            <v>16-01-8006</v>
          </cell>
          <cell r="C8">
            <v>3</v>
          </cell>
          <cell r="D8">
            <v>42384</v>
          </cell>
          <cell r="E8">
            <v>42384</v>
          </cell>
          <cell r="F8" t="str">
            <v>Dir 6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 t="str">
            <v>x</v>
          </cell>
          <cell r="M8">
            <v>42384</v>
          </cell>
          <cell r="N8">
            <v>42400</v>
          </cell>
          <cell r="O8">
            <v>1</v>
          </cell>
          <cell r="P8" t="str">
            <v>x</v>
          </cell>
          <cell r="Q8" t="str">
            <v>KfZ - Diebstahl</v>
          </cell>
          <cell r="R8">
            <v>0</v>
          </cell>
        </row>
        <row r="9">
          <cell r="B9" t="str">
            <v>16-01-8007</v>
          </cell>
          <cell r="C9">
            <v>3</v>
          </cell>
          <cell r="D9">
            <v>42384</v>
          </cell>
          <cell r="E9">
            <v>42384</v>
          </cell>
          <cell r="F9" t="str">
            <v>Dir 4</v>
          </cell>
          <cell r="G9">
            <v>0</v>
          </cell>
          <cell r="H9">
            <v>0</v>
          </cell>
          <cell r="I9">
            <v>0</v>
          </cell>
          <cell r="J9" t="str">
            <v>x</v>
          </cell>
          <cell r="K9">
            <v>0</v>
          </cell>
          <cell r="L9">
            <v>0</v>
          </cell>
          <cell r="M9">
            <v>42384</v>
          </cell>
          <cell r="N9">
            <v>42400</v>
          </cell>
          <cell r="O9">
            <v>1</v>
          </cell>
          <cell r="P9" t="str">
            <v>x</v>
          </cell>
          <cell r="Q9" t="str">
            <v>Schöneberg-Nord</v>
          </cell>
          <cell r="R9">
            <v>0</v>
          </cell>
        </row>
        <row r="10">
          <cell r="B10" t="str">
            <v>16-01-8008</v>
          </cell>
          <cell r="C10">
            <v>3</v>
          </cell>
          <cell r="D10">
            <v>42384</v>
          </cell>
          <cell r="E10">
            <v>42384</v>
          </cell>
          <cell r="F10" t="str">
            <v>Dir 2</v>
          </cell>
          <cell r="G10">
            <v>0</v>
          </cell>
          <cell r="H10" t="str">
            <v>x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42384</v>
          </cell>
          <cell r="N10">
            <v>42400</v>
          </cell>
          <cell r="O10">
            <v>1</v>
          </cell>
          <cell r="P10" t="str">
            <v>x</v>
          </cell>
          <cell r="Q10" t="str">
            <v>Hütchenspiel</v>
          </cell>
          <cell r="R10" t="str">
            <v>direktionsübergreifend (2, 3)</v>
          </cell>
        </row>
        <row r="11">
          <cell r="B11" t="str">
            <v>16-01-8009</v>
          </cell>
          <cell r="C11">
            <v>3</v>
          </cell>
          <cell r="D11">
            <v>42384</v>
          </cell>
          <cell r="E11">
            <v>42384</v>
          </cell>
          <cell r="F11" t="str">
            <v>Dir 5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 t="str">
            <v>x</v>
          </cell>
          <cell r="L11">
            <v>0</v>
          </cell>
          <cell r="M11">
            <v>42384</v>
          </cell>
          <cell r="N11">
            <v>42400</v>
          </cell>
          <cell r="O11">
            <v>1</v>
          </cell>
          <cell r="P11" t="str">
            <v>x</v>
          </cell>
          <cell r="Q11" t="str">
            <v>kbO Kottbusser Tor</v>
          </cell>
          <cell r="R11">
            <v>0</v>
          </cell>
        </row>
        <row r="12">
          <cell r="B12" t="str">
            <v>16-01-8010</v>
          </cell>
          <cell r="C12">
            <v>3</v>
          </cell>
          <cell r="D12">
            <v>42384</v>
          </cell>
          <cell r="E12">
            <v>42384</v>
          </cell>
          <cell r="F12" t="str">
            <v>Dir 6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 t="str">
            <v>x</v>
          </cell>
          <cell r="M12">
            <v>42384</v>
          </cell>
          <cell r="N12">
            <v>42400</v>
          </cell>
          <cell r="O12">
            <v>1</v>
          </cell>
          <cell r="P12" t="str">
            <v>x</v>
          </cell>
          <cell r="Q12" t="str">
            <v>Wohnraumeinbruch</v>
          </cell>
          <cell r="R12">
            <v>0</v>
          </cell>
        </row>
        <row r="13">
          <cell r="B13" t="str">
            <v>16-01-8011</v>
          </cell>
          <cell r="C13">
            <v>4</v>
          </cell>
          <cell r="D13">
            <v>42384</v>
          </cell>
          <cell r="E13">
            <v>42384</v>
          </cell>
          <cell r="F13" t="str">
            <v>Dir 2</v>
          </cell>
          <cell r="G13">
            <v>0</v>
          </cell>
          <cell r="H13" t="str">
            <v>x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42384</v>
          </cell>
          <cell r="N13">
            <v>42400</v>
          </cell>
          <cell r="O13">
            <v>1</v>
          </cell>
          <cell r="P13" t="str">
            <v>x</v>
          </cell>
          <cell r="Q13" t="str">
            <v>kbO U-Bhf Wilmersdorfer Straße</v>
          </cell>
          <cell r="R13">
            <v>0</v>
          </cell>
        </row>
        <row r="14">
          <cell r="B14" t="str">
            <v>16-01-8012</v>
          </cell>
          <cell r="C14">
            <v>4</v>
          </cell>
          <cell r="D14">
            <v>42384</v>
          </cell>
          <cell r="E14">
            <v>42384</v>
          </cell>
          <cell r="F14" t="str">
            <v>Dir 2</v>
          </cell>
          <cell r="G14">
            <v>0</v>
          </cell>
          <cell r="H14" t="str">
            <v>x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42384</v>
          </cell>
          <cell r="N14">
            <v>42400</v>
          </cell>
          <cell r="O14">
            <v>1</v>
          </cell>
          <cell r="P14" t="str">
            <v>x</v>
          </cell>
          <cell r="Q14" t="str">
            <v>kbO Altstadt Spandau</v>
          </cell>
          <cell r="R14">
            <v>0</v>
          </cell>
        </row>
        <row r="15">
          <cell r="B15" t="str">
            <v>16-01-8013</v>
          </cell>
          <cell r="C15">
            <v>4</v>
          </cell>
          <cell r="D15">
            <v>42384</v>
          </cell>
          <cell r="E15">
            <v>42384</v>
          </cell>
          <cell r="F15" t="str">
            <v>Dir 5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 t="str">
            <v>x</v>
          </cell>
          <cell r="L15">
            <v>0</v>
          </cell>
          <cell r="M15">
            <v>42384</v>
          </cell>
          <cell r="N15">
            <v>42400</v>
          </cell>
          <cell r="O15">
            <v>1</v>
          </cell>
          <cell r="P15" t="str">
            <v>x</v>
          </cell>
          <cell r="Q15" t="str">
            <v>kbO Volkspark Hasenheide</v>
          </cell>
          <cell r="R15">
            <v>0</v>
          </cell>
        </row>
        <row r="16">
          <cell r="B16" t="str">
            <v>16-01-8014</v>
          </cell>
          <cell r="C16">
            <v>4</v>
          </cell>
          <cell r="D16">
            <v>42384</v>
          </cell>
          <cell r="E16">
            <v>42384</v>
          </cell>
          <cell r="F16" t="str">
            <v>Dir 2</v>
          </cell>
          <cell r="G16">
            <v>0</v>
          </cell>
          <cell r="H16" t="str">
            <v>x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42384</v>
          </cell>
          <cell r="N16">
            <v>42400</v>
          </cell>
          <cell r="O16">
            <v>1</v>
          </cell>
          <cell r="P16" t="str">
            <v>x</v>
          </cell>
          <cell r="Q16" t="str">
            <v>Koeltzepark</v>
          </cell>
          <cell r="R16">
            <v>0</v>
          </cell>
        </row>
        <row r="17">
          <cell r="B17" t="str">
            <v>16-01-8015</v>
          </cell>
          <cell r="C17">
            <v>3</v>
          </cell>
          <cell r="D17">
            <v>42384</v>
          </cell>
          <cell r="E17">
            <v>42384</v>
          </cell>
          <cell r="F17" t="str">
            <v>Dir 1</v>
          </cell>
          <cell r="G17" t="str">
            <v>x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42384</v>
          </cell>
          <cell r="N17">
            <v>42400</v>
          </cell>
          <cell r="O17">
            <v>1</v>
          </cell>
          <cell r="P17" t="str">
            <v>x</v>
          </cell>
          <cell r="Q17" t="str">
            <v>illeg. Zigarettenhandel</v>
          </cell>
          <cell r="R17">
            <v>0</v>
          </cell>
        </row>
        <row r="18">
          <cell r="B18" t="str">
            <v>16-01-8016</v>
          </cell>
          <cell r="C18">
            <v>3</v>
          </cell>
          <cell r="D18">
            <v>42384</v>
          </cell>
          <cell r="E18">
            <v>42384</v>
          </cell>
          <cell r="F18" t="str">
            <v>Dir 3</v>
          </cell>
          <cell r="G18">
            <v>0</v>
          </cell>
          <cell r="H18">
            <v>0</v>
          </cell>
          <cell r="I18" t="str">
            <v>x</v>
          </cell>
          <cell r="J18">
            <v>0</v>
          </cell>
          <cell r="K18">
            <v>0</v>
          </cell>
          <cell r="L18">
            <v>0</v>
          </cell>
          <cell r="M18">
            <v>42384</v>
          </cell>
          <cell r="N18">
            <v>42400</v>
          </cell>
          <cell r="O18">
            <v>1</v>
          </cell>
          <cell r="P18" t="str">
            <v>x</v>
          </cell>
          <cell r="Q18" t="str">
            <v>kbO Leopoldplatz</v>
          </cell>
          <cell r="R18">
            <v>0</v>
          </cell>
        </row>
        <row r="19">
          <cell r="B19" t="str">
            <v>16-02-8201</v>
          </cell>
          <cell r="C19">
            <v>2</v>
          </cell>
          <cell r="D19">
            <v>42401</v>
          </cell>
          <cell r="E19">
            <v>42401</v>
          </cell>
          <cell r="F19" t="str">
            <v>Dir 5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 t="str">
            <v>x</v>
          </cell>
          <cell r="L19">
            <v>0</v>
          </cell>
          <cell r="M19">
            <v>42401</v>
          </cell>
          <cell r="N19">
            <v>42429</v>
          </cell>
          <cell r="O19">
            <v>2</v>
          </cell>
          <cell r="P19">
            <v>0</v>
          </cell>
          <cell r="Q19" t="str">
            <v>kbO RAW</v>
          </cell>
          <cell r="R19">
            <v>0</v>
          </cell>
        </row>
        <row r="20">
          <cell r="B20" t="str">
            <v>16-02-8202</v>
          </cell>
          <cell r="C20">
            <v>2</v>
          </cell>
          <cell r="D20">
            <v>42401</v>
          </cell>
          <cell r="E20">
            <v>42401</v>
          </cell>
          <cell r="F20" t="str">
            <v>Dir 5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 t="str">
            <v>x</v>
          </cell>
          <cell r="L20">
            <v>0</v>
          </cell>
          <cell r="M20">
            <v>42401</v>
          </cell>
          <cell r="N20">
            <v>42429</v>
          </cell>
          <cell r="O20">
            <v>2</v>
          </cell>
          <cell r="P20">
            <v>0</v>
          </cell>
          <cell r="Q20" t="str">
            <v>Rigaer Str.</v>
          </cell>
          <cell r="R20">
            <v>0</v>
          </cell>
        </row>
        <row r="21">
          <cell r="B21" t="str">
            <v>16-02-8203</v>
          </cell>
          <cell r="C21">
            <v>2</v>
          </cell>
          <cell r="D21">
            <v>42401</v>
          </cell>
          <cell r="E21">
            <v>42401</v>
          </cell>
          <cell r="F21" t="str">
            <v>Dir 5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 t="str">
            <v>x</v>
          </cell>
          <cell r="L21">
            <v>0</v>
          </cell>
          <cell r="M21">
            <v>42401</v>
          </cell>
          <cell r="N21">
            <v>42429</v>
          </cell>
          <cell r="O21">
            <v>2</v>
          </cell>
          <cell r="P21">
            <v>0</v>
          </cell>
          <cell r="Q21" t="str">
            <v>kbO Görlitzer Park</v>
          </cell>
          <cell r="R21">
            <v>0</v>
          </cell>
        </row>
        <row r="22">
          <cell r="B22" t="str">
            <v>16-02-8204</v>
          </cell>
          <cell r="C22">
            <v>2</v>
          </cell>
          <cell r="D22">
            <v>42401</v>
          </cell>
          <cell r="E22">
            <v>42401</v>
          </cell>
          <cell r="F22" t="str">
            <v>Dir 3</v>
          </cell>
          <cell r="G22">
            <v>0</v>
          </cell>
          <cell r="H22">
            <v>0</v>
          </cell>
          <cell r="I22" t="str">
            <v>x</v>
          </cell>
          <cell r="J22">
            <v>0</v>
          </cell>
          <cell r="K22">
            <v>0</v>
          </cell>
          <cell r="L22">
            <v>0</v>
          </cell>
          <cell r="M22">
            <v>42401</v>
          </cell>
          <cell r="N22">
            <v>42429</v>
          </cell>
          <cell r="O22">
            <v>2</v>
          </cell>
          <cell r="P22">
            <v>0</v>
          </cell>
          <cell r="Q22" t="str">
            <v>Sichere Mitte</v>
          </cell>
          <cell r="R22">
            <v>0</v>
          </cell>
        </row>
        <row r="23">
          <cell r="B23" t="str">
            <v>16-02-8305</v>
          </cell>
          <cell r="C23">
            <v>3</v>
          </cell>
          <cell r="D23">
            <v>42401</v>
          </cell>
          <cell r="E23">
            <v>42401</v>
          </cell>
          <cell r="F23" t="str">
            <v>Dir 4</v>
          </cell>
          <cell r="G23">
            <v>0</v>
          </cell>
          <cell r="H23">
            <v>0</v>
          </cell>
          <cell r="I23">
            <v>0</v>
          </cell>
          <cell r="J23" t="str">
            <v>x</v>
          </cell>
          <cell r="K23">
            <v>0</v>
          </cell>
          <cell r="L23">
            <v>0</v>
          </cell>
          <cell r="M23">
            <v>42401</v>
          </cell>
          <cell r="N23">
            <v>42429</v>
          </cell>
          <cell r="O23">
            <v>2</v>
          </cell>
          <cell r="P23" t="str">
            <v>x</v>
          </cell>
          <cell r="Q23" t="str">
            <v>Wohnraumeinbruch A 47</v>
          </cell>
          <cell r="R23">
            <v>0</v>
          </cell>
        </row>
        <row r="24">
          <cell r="B24" t="str">
            <v>16-02-8306</v>
          </cell>
          <cell r="C24">
            <v>3</v>
          </cell>
          <cell r="D24">
            <v>42401</v>
          </cell>
          <cell r="E24">
            <v>42401</v>
          </cell>
          <cell r="F24" t="str">
            <v>Dir 6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 t="str">
            <v>x</v>
          </cell>
          <cell r="M24">
            <v>42401</v>
          </cell>
          <cell r="N24">
            <v>42429</v>
          </cell>
          <cell r="O24">
            <v>2</v>
          </cell>
          <cell r="P24" t="str">
            <v>x</v>
          </cell>
          <cell r="Q24" t="str">
            <v>KfZ - Diebstahl</v>
          </cell>
          <cell r="R24">
            <v>0</v>
          </cell>
        </row>
        <row r="25">
          <cell r="B25" t="str">
            <v>16-02-8307</v>
          </cell>
          <cell r="C25">
            <v>3</v>
          </cell>
          <cell r="D25">
            <v>42401</v>
          </cell>
          <cell r="E25">
            <v>42401</v>
          </cell>
          <cell r="F25" t="str">
            <v>Dir 4</v>
          </cell>
          <cell r="G25">
            <v>0</v>
          </cell>
          <cell r="H25">
            <v>0</v>
          </cell>
          <cell r="I25">
            <v>0</v>
          </cell>
          <cell r="J25" t="str">
            <v>x</v>
          </cell>
          <cell r="K25">
            <v>0</v>
          </cell>
          <cell r="L25">
            <v>0</v>
          </cell>
          <cell r="M25">
            <v>42401</v>
          </cell>
          <cell r="N25">
            <v>42429</v>
          </cell>
          <cell r="O25">
            <v>2</v>
          </cell>
          <cell r="P25" t="str">
            <v>x</v>
          </cell>
          <cell r="Q25" t="str">
            <v>Schöneberg-Nord</v>
          </cell>
          <cell r="R25">
            <v>0</v>
          </cell>
        </row>
        <row r="26">
          <cell r="B26" t="str">
            <v>16-02-8308</v>
          </cell>
          <cell r="C26">
            <v>3</v>
          </cell>
          <cell r="D26">
            <v>42401</v>
          </cell>
          <cell r="E26">
            <v>42401</v>
          </cell>
          <cell r="F26" t="str">
            <v>Dir 2</v>
          </cell>
          <cell r="G26">
            <v>0</v>
          </cell>
          <cell r="H26" t="str">
            <v>x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42401</v>
          </cell>
          <cell r="N26">
            <v>42429</v>
          </cell>
          <cell r="O26">
            <v>2</v>
          </cell>
          <cell r="P26" t="str">
            <v>x</v>
          </cell>
          <cell r="Q26" t="str">
            <v>Hütchenspiel</v>
          </cell>
          <cell r="R26" t="str">
            <v>direktionsübergreifend (2, 3)</v>
          </cell>
        </row>
        <row r="27">
          <cell r="B27" t="str">
            <v>16-02-8309</v>
          </cell>
          <cell r="C27">
            <v>3</v>
          </cell>
          <cell r="D27">
            <v>42401</v>
          </cell>
          <cell r="E27">
            <v>42401</v>
          </cell>
          <cell r="F27" t="str">
            <v>Dir 5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 t="str">
            <v>x</v>
          </cell>
          <cell r="L27">
            <v>0</v>
          </cell>
          <cell r="M27">
            <v>42401</v>
          </cell>
          <cell r="N27">
            <v>42429</v>
          </cell>
          <cell r="O27">
            <v>2</v>
          </cell>
          <cell r="P27" t="str">
            <v>x</v>
          </cell>
          <cell r="Q27" t="str">
            <v>kbO Kottbusser Tor</v>
          </cell>
          <cell r="R27">
            <v>0</v>
          </cell>
        </row>
        <row r="28">
          <cell r="B28" t="str">
            <v>16-02-8310</v>
          </cell>
          <cell r="C28">
            <v>3</v>
          </cell>
          <cell r="D28">
            <v>42401</v>
          </cell>
          <cell r="E28">
            <v>42401</v>
          </cell>
          <cell r="F28" t="str">
            <v>Dir 6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 t="str">
            <v>x</v>
          </cell>
          <cell r="M28">
            <v>42401</v>
          </cell>
          <cell r="N28">
            <v>42429</v>
          </cell>
          <cell r="O28">
            <v>2</v>
          </cell>
          <cell r="P28" t="str">
            <v>x</v>
          </cell>
          <cell r="Q28" t="str">
            <v>Wohnraumeinbruch</v>
          </cell>
          <cell r="R28">
            <v>0</v>
          </cell>
        </row>
        <row r="29">
          <cell r="B29" t="str">
            <v>16-02-8411</v>
          </cell>
          <cell r="C29">
            <v>4</v>
          </cell>
          <cell r="D29">
            <v>42401</v>
          </cell>
          <cell r="E29">
            <v>42401</v>
          </cell>
          <cell r="F29" t="str">
            <v>Dir 2</v>
          </cell>
          <cell r="G29">
            <v>0</v>
          </cell>
          <cell r="H29" t="str">
            <v>x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42401</v>
          </cell>
          <cell r="N29">
            <v>42429</v>
          </cell>
          <cell r="O29">
            <v>2</v>
          </cell>
          <cell r="P29" t="str">
            <v>x</v>
          </cell>
          <cell r="Q29" t="str">
            <v>kbO Altstadt Spandau</v>
          </cell>
          <cell r="R29">
            <v>0</v>
          </cell>
        </row>
        <row r="30">
          <cell r="B30" t="str">
            <v>16-02-8412</v>
          </cell>
          <cell r="C30">
            <v>4</v>
          </cell>
          <cell r="D30">
            <v>42401</v>
          </cell>
          <cell r="E30">
            <v>42401</v>
          </cell>
          <cell r="F30" t="str">
            <v>Dir 5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 t="str">
            <v>x</v>
          </cell>
          <cell r="L30">
            <v>0</v>
          </cell>
          <cell r="M30">
            <v>42401</v>
          </cell>
          <cell r="N30">
            <v>42429</v>
          </cell>
          <cell r="O30">
            <v>2</v>
          </cell>
          <cell r="P30" t="str">
            <v>x</v>
          </cell>
          <cell r="Q30" t="str">
            <v>kbO Volkspark Hasenheide</v>
          </cell>
          <cell r="R30">
            <v>0</v>
          </cell>
        </row>
        <row r="31">
          <cell r="B31" t="str">
            <v>16-02-8413</v>
          </cell>
          <cell r="C31">
            <v>4</v>
          </cell>
          <cell r="D31">
            <v>42401</v>
          </cell>
          <cell r="E31">
            <v>42401</v>
          </cell>
          <cell r="F31" t="str">
            <v>Dir 1</v>
          </cell>
          <cell r="G31" t="str">
            <v>x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42401</v>
          </cell>
          <cell r="N31">
            <v>42429</v>
          </cell>
          <cell r="O31">
            <v>2</v>
          </cell>
          <cell r="P31" t="str">
            <v>x</v>
          </cell>
          <cell r="Q31" t="str">
            <v>illeg. Zigarettenhandel</v>
          </cell>
          <cell r="R31">
            <v>0</v>
          </cell>
        </row>
        <row r="32">
          <cell r="B32" t="str">
            <v>16-02-8314</v>
          </cell>
          <cell r="C32">
            <v>3</v>
          </cell>
          <cell r="D32">
            <v>42401</v>
          </cell>
          <cell r="E32">
            <v>42401</v>
          </cell>
          <cell r="F32" t="str">
            <v>Dir 3</v>
          </cell>
          <cell r="G32">
            <v>0</v>
          </cell>
          <cell r="H32">
            <v>0</v>
          </cell>
          <cell r="I32" t="str">
            <v>x</v>
          </cell>
          <cell r="J32">
            <v>0</v>
          </cell>
          <cell r="K32">
            <v>0</v>
          </cell>
          <cell r="L32">
            <v>0</v>
          </cell>
          <cell r="M32">
            <v>42401</v>
          </cell>
          <cell r="N32">
            <v>42429</v>
          </cell>
          <cell r="O32">
            <v>2</v>
          </cell>
          <cell r="P32" t="str">
            <v>x</v>
          </cell>
          <cell r="Q32" t="str">
            <v>kbO Leopoldplatz</v>
          </cell>
          <cell r="R32">
            <v>0</v>
          </cell>
        </row>
        <row r="33">
          <cell r="B33" t="str">
            <v>16-02-8215</v>
          </cell>
          <cell r="C33">
            <v>2</v>
          </cell>
          <cell r="D33">
            <v>42401</v>
          </cell>
          <cell r="E33">
            <v>42401</v>
          </cell>
          <cell r="F33" t="str">
            <v>Dir 3</v>
          </cell>
          <cell r="G33">
            <v>0</v>
          </cell>
          <cell r="H33">
            <v>0</v>
          </cell>
          <cell r="I33" t="str">
            <v>x</v>
          </cell>
          <cell r="J33">
            <v>0</v>
          </cell>
          <cell r="K33">
            <v>0</v>
          </cell>
          <cell r="L33">
            <v>0</v>
          </cell>
          <cell r="M33">
            <v>42401</v>
          </cell>
          <cell r="N33">
            <v>42429</v>
          </cell>
          <cell r="O33">
            <v>2</v>
          </cell>
          <cell r="P33">
            <v>0</v>
          </cell>
          <cell r="Q33" t="str">
            <v>Kleiner Tiergarten</v>
          </cell>
          <cell r="R33">
            <v>0</v>
          </cell>
        </row>
        <row r="34">
          <cell r="B34" t="str">
            <v>16-02-8216</v>
          </cell>
          <cell r="C34">
            <v>2</v>
          </cell>
          <cell r="D34">
            <v>42401</v>
          </cell>
          <cell r="E34">
            <v>42401</v>
          </cell>
          <cell r="F34" t="str">
            <v>LKA 33</v>
          </cell>
          <cell r="G34" t="str">
            <v>x</v>
          </cell>
          <cell r="H34" t="str">
            <v>x</v>
          </cell>
          <cell r="I34" t="str">
            <v>x</v>
          </cell>
          <cell r="J34" t="str">
            <v>x</v>
          </cell>
          <cell r="K34" t="str">
            <v>x</v>
          </cell>
          <cell r="L34" t="str">
            <v>x</v>
          </cell>
          <cell r="M34">
            <v>42401</v>
          </cell>
          <cell r="N34">
            <v>42429</v>
          </cell>
          <cell r="O34">
            <v>2</v>
          </cell>
          <cell r="P34">
            <v>0</v>
          </cell>
          <cell r="Q34" t="str">
            <v>Glücksspiel</v>
          </cell>
          <cell r="R34" t="str">
            <v>direktionsübergreifend (1 - 6)</v>
          </cell>
        </row>
        <row r="35">
          <cell r="B35" t="str">
            <v>16-02-8317</v>
          </cell>
          <cell r="C35">
            <v>3</v>
          </cell>
          <cell r="D35">
            <v>42401</v>
          </cell>
          <cell r="E35">
            <v>42401</v>
          </cell>
          <cell r="F35" t="str">
            <v>Dir 2</v>
          </cell>
          <cell r="G35">
            <v>0</v>
          </cell>
          <cell r="H35" t="str">
            <v>x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42401</v>
          </cell>
          <cell r="N35">
            <v>42429</v>
          </cell>
          <cell r="O35">
            <v>2</v>
          </cell>
          <cell r="P35" t="str">
            <v>x</v>
          </cell>
          <cell r="Q35" t="str">
            <v>Kantstr.</v>
          </cell>
          <cell r="R35">
            <v>0</v>
          </cell>
        </row>
        <row r="36">
          <cell r="B36" t="str">
            <v>16-02-8318</v>
          </cell>
          <cell r="C36">
            <v>3</v>
          </cell>
          <cell r="D36">
            <v>42401</v>
          </cell>
          <cell r="E36">
            <v>42401</v>
          </cell>
          <cell r="F36" t="str">
            <v>Dir 3</v>
          </cell>
          <cell r="G36">
            <v>0</v>
          </cell>
          <cell r="H36">
            <v>0</v>
          </cell>
          <cell r="I36" t="str">
            <v>x</v>
          </cell>
          <cell r="J36">
            <v>0</v>
          </cell>
          <cell r="K36">
            <v>0</v>
          </cell>
          <cell r="L36">
            <v>0</v>
          </cell>
          <cell r="M36">
            <v>42401</v>
          </cell>
          <cell r="N36">
            <v>42429</v>
          </cell>
          <cell r="O36">
            <v>2</v>
          </cell>
          <cell r="P36" t="str">
            <v>x</v>
          </cell>
          <cell r="Q36" t="str">
            <v>Brennpunkt A 36</v>
          </cell>
          <cell r="R36">
            <v>0</v>
          </cell>
        </row>
        <row r="37">
          <cell r="B37" t="str">
            <v>16-02-8419</v>
          </cell>
          <cell r="C37">
            <v>4</v>
          </cell>
          <cell r="D37">
            <v>42401</v>
          </cell>
          <cell r="E37">
            <v>42401</v>
          </cell>
          <cell r="F37" t="str">
            <v>LKA St 12</v>
          </cell>
          <cell r="G37">
            <v>0</v>
          </cell>
          <cell r="H37">
            <v>0</v>
          </cell>
          <cell r="I37" t="str">
            <v>x</v>
          </cell>
          <cell r="J37">
            <v>0</v>
          </cell>
          <cell r="K37">
            <v>0</v>
          </cell>
          <cell r="L37">
            <v>0</v>
          </cell>
          <cell r="M37">
            <v>42401</v>
          </cell>
          <cell r="N37">
            <v>42429</v>
          </cell>
          <cell r="O37">
            <v>2</v>
          </cell>
          <cell r="P37">
            <v>0</v>
          </cell>
          <cell r="Q37" t="str">
            <v>Taschendiebstahl A 34</v>
          </cell>
          <cell r="R37" t="str">
            <v>Schirmkonzeption</v>
          </cell>
        </row>
        <row r="38">
          <cell r="B38" t="str">
            <v>16-02-8420</v>
          </cell>
          <cell r="C38">
            <v>4</v>
          </cell>
          <cell r="D38">
            <v>42401</v>
          </cell>
          <cell r="E38">
            <v>42401</v>
          </cell>
          <cell r="F38" t="str">
            <v>Dir 2</v>
          </cell>
          <cell r="G38">
            <v>0</v>
          </cell>
          <cell r="H38" t="str">
            <v>x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42401</v>
          </cell>
          <cell r="N38">
            <v>42429</v>
          </cell>
          <cell r="O38">
            <v>2</v>
          </cell>
          <cell r="P38" t="str">
            <v>x</v>
          </cell>
          <cell r="Q38" t="str">
            <v>Kantstr.</v>
          </cell>
          <cell r="R38">
            <v>0</v>
          </cell>
        </row>
        <row r="39">
          <cell r="B39" t="str">
            <v>16-02-8421</v>
          </cell>
          <cell r="C39">
            <v>4</v>
          </cell>
          <cell r="D39">
            <v>42424</v>
          </cell>
          <cell r="E39">
            <v>42424</v>
          </cell>
          <cell r="F39" t="str">
            <v>Dir 4</v>
          </cell>
          <cell r="G39">
            <v>0</v>
          </cell>
          <cell r="H39">
            <v>0</v>
          </cell>
          <cell r="I39">
            <v>0</v>
          </cell>
          <cell r="J39" t="str">
            <v>x</v>
          </cell>
          <cell r="K39">
            <v>0</v>
          </cell>
          <cell r="L39">
            <v>0</v>
          </cell>
          <cell r="M39">
            <v>42424</v>
          </cell>
          <cell r="N39">
            <v>42429</v>
          </cell>
          <cell r="O39">
            <v>2</v>
          </cell>
          <cell r="P39" t="str">
            <v>x</v>
          </cell>
          <cell r="Q39" t="str">
            <v>Schöneberg-Nord</v>
          </cell>
          <cell r="R39">
            <v>0</v>
          </cell>
        </row>
        <row r="40">
          <cell r="B40" t="str">
            <v>16-03-8201</v>
          </cell>
          <cell r="C40">
            <v>2</v>
          </cell>
          <cell r="D40">
            <v>42422</v>
          </cell>
          <cell r="E40">
            <v>42422</v>
          </cell>
          <cell r="F40" t="str">
            <v>LKA 33</v>
          </cell>
          <cell r="G40" t="str">
            <v>x</v>
          </cell>
          <cell r="H40" t="str">
            <v>x</v>
          </cell>
          <cell r="I40" t="str">
            <v>x</v>
          </cell>
          <cell r="J40" t="str">
            <v>x</v>
          </cell>
          <cell r="K40" t="str">
            <v>x</v>
          </cell>
          <cell r="L40" t="str">
            <v>x</v>
          </cell>
          <cell r="M40">
            <v>42430</v>
          </cell>
          <cell r="N40">
            <v>42460</v>
          </cell>
          <cell r="O40">
            <v>3</v>
          </cell>
          <cell r="P40">
            <v>0</v>
          </cell>
          <cell r="Q40" t="str">
            <v>Glücksspiel</v>
          </cell>
          <cell r="R40" t="str">
            <v>direktionsübergreifend (1 - 6)</v>
          </cell>
        </row>
        <row r="41">
          <cell r="B41" t="str">
            <v>16-03-8202</v>
          </cell>
          <cell r="C41">
            <v>2</v>
          </cell>
          <cell r="D41">
            <v>42422</v>
          </cell>
          <cell r="E41">
            <v>42422</v>
          </cell>
          <cell r="F41" t="str">
            <v>Dir 3</v>
          </cell>
          <cell r="G41">
            <v>0</v>
          </cell>
          <cell r="H41">
            <v>0</v>
          </cell>
          <cell r="I41" t="str">
            <v>x</v>
          </cell>
          <cell r="J41">
            <v>0</v>
          </cell>
          <cell r="K41">
            <v>0</v>
          </cell>
          <cell r="L41">
            <v>0</v>
          </cell>
          <cell r="M41">
            <v>42430</v>
          </cell>
          <cell r="N41">
            <v>42460</v>
          </cell>
          <cell r="O41">
            <v>3</v>
          </cell>
          <cell r="P41">
            <v>0</v>
          </cell>
          <cell r="Q41" t="str">
            <v>Sichere Mitte</v>
          </cell>
          <cell r="R41">
            <v>0</v>
          </cell>
        </row>
        <row r="42">
          <cell r="B42" t="str">
            <v>16-03-8203</v>
          </cell>
          <cell r="C42">
            <v>2</v>
          </cell>
          <cell r="D42">
            <v>42422</v>
          </cell>
          <cell r="E42">
            <v>42422</v>
          </cell>
          <cell r="F42" t="str">
            <v>Dir 3</v>
          </cell>
          <cell r="G42">
            <v>0</v>
          </cell>
          <cell r="H42">
            <v>0</v>
          </cell>
          <cell r="I42" t="str">
            <v>x</v>
          </cell>
          <cell r="J42">
            <v>0</v>
          </cell>
          <cell r="K42">
            <v>0</v>
          </cell>
          <cell r="L42">
            <v>0</v>
          </cell>
          <cell r="M42">
            <v>42430</v>
          </cell>
          <cell r="N42">
            <v>42460</v>
          </cell>
          <cell r="O42">
            <v>3</v>
          </cell>
          <cell r="P42">
            <v>0</v>
          </cell>
          <cell r="Q42" t="str">
            <v>Kleiner Tiergarten</v>
          </cell>
          <cell r="R42">
            <v>0</v>
          </cell>
        </row>
        <row r="43">
          <cell r="B43" t="str">
            <v>16-03-8204</v>
          </cell>
          <cell r="C43">
            <v>2</v>
          </cell>
          <cell r="D43">
            <v>42422</v>
          </cell>
          <cell r="E43">
            <v>42422</v>
          </cell>
          <cell r="F43" t="str">
            <v>Dir 5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x</v>
          </cell>
          <cell r="L43">
            <v>0</v>
          </cell>
          <cell r="M43">
            <v>42430</v>
          </cell>
          <cell r="N43">
            <v>42460</v>
          </cell>
          <cell r="O43">
            <v>3</v>
          </cell>
          <cell r="P43">
            <v>0</v>
          </cell>
          <cell r="Q43" t="str">
            <v>Rigaer Str.</v>
          </cell>
          <cell r="R43">
            <v>0</v>
          </cell>
        </row>
        <row r="44">
          <cell r="B44" t="str">
            <v>16-03-8205</v>
          </cell>
          <cell r="C44">
            <v>2</v>
          </cell>
          <cell r="D44">
            <v>42422</v>
          </cell>
          <cell r="E44">
            <v>42422</v>
          </cell>
          <cell r="F44" t="str">
            <v>Dir 5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x</v>
          </cell>
          <cell r="L44">
            <v>0</v>
          </cell>
          <cell r="M44">
            <v>42430</v>
          </cell>
          <cell r="N44">
            <v>42460</v>
          </cell>
          <cell r="O44">
            <v>3</v>
          </cell>
          <cell r="P44">
            <v>0</v>
          </cell>
          <cell r="Q44" t="str">
            <v>kbO RAW</v>
          </cell>
          <cell r="R44">
            <v>0</v>
          </cell>
        </row>
        <row r="45">
          <cell r="B45" t="str">
            <v>16-03-8206</v>
          </cell>
          <cell r="C45">
            <v>2</v>
          </cell>
          <cell r="D45">
            <v>42422</v>
          </cell>
          <cell r="E45">
            <v>42422</v>
          </cell>
          <cell r="F45" t="str">
            <v>Dir 5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x</v>
          </cell>
          <cell r="L45">
            <v>0</v>
          </cell>
          <cell r="M45">
            <v>42430</v>
          </cell>
          <cell r="N45">
            <v>42460</v>
          </cell>
          <cell r="O45">
            <v>3</v>
          </cell>
          <cell r="P45">
            <v>0</v>
          </cell>
          <cell r="Q45" t="str">
            <v>kbO Kottbusser Tor</v>
          </cell>
          <cell r="R45">
            <v>0</v>
          </cell>
        </row>
        <row r="46">
          <cell r="B46" t="str">
            <v>16-03-8207</v>
          </cell>
          <cell r="C46">
            <v>2</v>
          </cell>
          <cell r="D46">
            <v>42422</v>
          </cell>
          <cell r="E46">
            <v>42422</v>
          </cell>
          <cell r="F46" t="str">
            <v>Dir 5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x</v>
          </cell>
          <cell r="L46">
            <v>0</v>
          </cell>
          <cell r="M46">
            <v>42430</v>
          </cell>
          <cell r="N46">
            <v>42460</v>
          </cell>
          <cell r="O46">
            <v>3</v>
          </cell>
          <cell r="P46">
            <v>0</v>
          </cell>
          <cell r="Q46" t="str">
            <v>kbO Görlitzer Park</v>
          </cell>
          <cell r="R46">
            <v>0</v>
          </cell>
        </row>
        <row r="47">
          <cell r="B47" t="str">
            <v>16-03-8308</v>
          </cell>
          <cell r="C47">
            <v>3</v>
          </cell>
          <cell r="D47">
            <v>42422</v>
          </cell>
          <cell r="E47">
            <v>42422</v>
          </cell>
          <cell r="F47" t="str">
            <v>Dir 2</v>
          </cell>
          <cell r="G47">
            <v>0</v>
          </cell>
          <cell r="H47" t="str">
            <v>x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42430</v>
          </cell>
          <cell r="N47">
            <v>42460</v>
          </cell>
          <cell r="O47">
            <v>3</v>
          </cell>
          <cell r="P47" t="str">
            <v>x</v>
          </cell>
          <cell r="Q47" t="str">
            <v>Hütchenspiel</v>
          </cell>
          <cell r="R47" t="str">
            <v>direktionsübergreifend (2, 3)</v>
          </cell>
        </row>
        <row r="48">
          <cell r="B48" t="str">
            <v>16-03-8309</v>
          </cell>
          <cell r="C48">
            <v>3</v>
          </cell>
          <cell r="D48">
            <v>42422</v>
          </cell>
          <cell r="E48">
            <v>42422</v>
          </cell>
          <cell r="F48" t="str">
            <v>Dir 2</v>
          </cell>
          <cell r="G48">
            <v>0</v>
          </cell>
          <cell r="H48" t="str">
            <v>x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42430</v>
          </cell>
          <cell r="N48">
            <v>42460</v>
          </cell>
          <cell r="O48">
            <v>3</v>
          </cell>
          <cell r="P48" t="str">
            <v>x</v>
          </cell>
          <cell r="Q48" t="str">
            <v>Kantstr.</v>
          </cell>
          <cell r="R48">
            <v>0</v>
          </cell>
        </row>
        <row r="49">
          <cell r="B49" t="str">
            <v>16-03-8310</v>
          </cell>
          <cell r="C49">
            <v>3</v>
          </cell>
          <cell r="D49">
            <v>42422</v>
          </cell>
          <cell r="E49">
            <v>42422</v>
          </cell>
          <cell r="F49" t="str">
            <v>Dir 2</v>
          </cell>
          <cell r="G49">
            <v>0</v>
          </cell>
          <cell r="H49" t="str">
            <v>x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42430</v>
          </cell>
          <cell r="N49">
            <v>42460</v>
          </cell>
          <cell r="O49">
            <v>3</v>
          </cell>
          <cell r="P49" t="str">
            <v>x</v>
          </cell>
          <cell r="Q49" t="str">
            <v>ZOB/ Kaiserdamm</v>
          </cell>
          <cell r="R49">
            <v>0</v>
          </cell>
        </row>
        <row r="50">
          <cell r="B50" t="str">
            <v>16-03-8311</v>
          </cell>
          <cell r="C50">
            <v>3</v>
          </cell>
          <cell r="D50">
            <v>42422</v>
          </cell>
          <cell r="E50">
            <v>42422</v>
          </cell>
          <cell r="F50" t="str">
            <v>Dir 3</v>
          </cell>
          <cell r="G50">
            <v>0</v>
          </cell>
          <cell r="H50">
            <v>0</v>
          </cell>
          <cell r="I50" t="str">
            <v>x</v>
          </cell>
          <cell r="J50">
            <v>0</v>
          </cell>
          <cell r="K50">
            <v>0</v>
          </cell>
          <cell r="L50">
            <v>0</v>
          </cell>
          <cell r="M50">
            <v>42430</v>
          </cell>
          <cell r="N50">
            <v>42460</v>
          </cell>
          <cell r="O50">
            <v>3</v>
          </cell>
          <cell r="P50" t="str">
            <v>x</v>
          </cell>
          <cell r="Q50" t="str">
            <v>Brennpunkt A 36</v>
          </cell>
          <cell r="R50">
            <v>0</v>
          </cell>
        </row>
        <row r="51">
          <cell r="B51" t="str">
            <v>16-03-8312</v>
          </cell>
          <cell r="C51">
            <v>3</v>
          </cell>
          <cell r="D51">
            <v>42422</v>
          </cell>
          <cell r="E51">
            <v>42422</v>
          </cell>
          <cell r="F51" t="str">
            <v>Dir 3</v>
          </cell>
          <cell r="G51">
            <v>0</v>
          </cell>
          <cell r="H51">
            <v>0</v>
          </cell>
          <cell r="I51" t="str">
            <v>x</v>
          </cell>
          <cell r="J51">
            <v>0</v>
          </cell>
          <cell r="K51">
            <v>0</v>
          </cell>
          <cell r="L51">
            <v>0</v>
          </cell>
          <cell r="M51">
            <v>42430</v>
          </cell>
          <cell r="N51">
            <v>42460</v>
          </cell>
          <cell r="O51">
            <v>3</v>
          </cell>
          <cell r="P51" t="str">
            <v>x</v>
          </cell>
          <cell r="Q51" t="str">
            <v>kbO Leopoldplatz</v>
          </cell>
          <cell r="R51">
            <v>0</v>
          </cell>
        </row>
        <row r="52">
          <cell r="B52" t="str">
            <v>16-03-8313</v>
          </cell>
          <cell r="C52">
            <v>3</v>
          </cell>
          <cell r="D52">
            <v>42422</v>
          </cell>
          <cell r="E52">
            <v>42422</v>
          </cell>
          <cell r="F52" t="str">
            <v>LKA St 12</v>
          </cell>
          <cell r="G52">
            <v>0</v>
          </cell>
          <cell r="H52">
            <v>0</v>
          </cell>
          <cell r="I52" t="str">
            <v>x</v>
          </cell>
          <cell r="J52">
            <v>0</v>
          </cell>
          <cell r="K52">
            <v>0</v>
          </cell>
          <cell r="L52">
            <v>0</v>
          </cell>
          <cell r="M52">
            <v>42430</v>
          </cell>
          <cell r="N52">
            <v>42460</v>
          </cell>
          <cell r="O52">
            <v>3</v>
          </cell>
          <cell r="P52">
            <v>0</v>
          </cell>
          <cell r="Q52" t="str">
            <v>Taschendiebstahl A 34</v>
          </cell>
          <cell r="R52" t="str">
            <v>Schirmkonzeption</v>
          </cell>
        </row>
        <row r="53">
          <cell r="B53" t="str">
            <v>16-03-8314</v>
          </cell>
          <cell r="C53">
            <v>3</v>
          </cell>
          <cell r="D53">
            <v>42422</v>
          </cell>
          <cell r="E53">
            <v>42422</v>
          </cell>
          <cell r="F53" t="str">
            <v>Dir 4</v>
          </cell>
          <cell r="G53">
            <v>0</v>
          </cell>
          <cell r="H53">
            <v>0</v>
          </cell>
          <cell r="I53">
            <v>0</v>
          </cell>
          <cell r="J53" t="str">
            <v>x</v>
          </cell>
          <cell r="K53">
            <v>0</v>
          </cell>
          <cell r="L53">
            <v>0</v>
          </cell>
          <cell r="M53">
            <v>42430</v>
          </cell>
          <cell r="N53">
            <v>42460</v>
          </cell>
          <cell r="O53">
            <v>3</v>
          </cell>
          <cell r="P53" t="str">
            <v>x</v>
          </cell>
          <cell r="Q53" t="str">
            <v>Wohnraumeinbruch A 47</v>
          </cell>
          <cell r="R53">
            <v>0</v>
          </cell>
        </row>
        <row r="54">
          <cell r="B54" t="str">
            <v>16-03-8315</v>
          </cell>
          <cell r="C54">
            <v>3</v>
          </cell>
          <cell r="D54">
            <v>42422</v>
          </cell>
          <cell r="E54">
            <v>42422</v>
          </cell>
          <cell r="F54" t="str">
            <v>Dir 4</v>
          </cell>
          <cell r="G54">
            <v>0</v>
          </cell>
          <cell r="H54">
            <v>0</v>
          </cell>
          <cell r="I54">
            <v>0</v>
          </cell>
          <cell r="J54" t="str">
            <v>x</v>
          </cell>
          <cell r="K54">
            <v>0</v>
          </cell>
          <cell r="L54">
            <v>0</v>
          </cell>
          <cell r="M54">
            <v>42430</v>
          </cell>
          <cell r="N54">
            <v>42460</v>
          </cell>
          <cell r="O54">
            <v>3</v>
          </cell>
          <cell r="P54" t="str">
            <v>x</v>
          </cell>
          <cell r="Q54" t="str">
            <v>Schöneberg-Nord</v>
          </cell>
          <cell r="R54">
            <v>0</v>
          </cell>
        </row>
        <row r="55">
          <cell r="B55" t="str">
            <v>16-03-8316</v>
          </cell>
          <cell r="C55">
            <v>3</v>
          </cell>
          <cell r="D55">
            <v>42422</v>
          </cell>
          <cell r="E55">
            <v>42422</v>
          </cell>
          <cell r="F55" t="str">
            <v>Dir 6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 t="str">
            <v>x</v>
          </cell>
          <cell r="M55">
            <v>42430</v>
          </cell>
          <cell r="N55">
            <v>42460</v>
          </cell>
          <cell r="O55">
            <v>3</v>
          </cell>
          <cell r="P55" t="str">
            <v>x</v>
          </cell>
          <cell r="Q55" t="str">
            <v>Wohnraumeinbruch</v>
          </cell>
          <cell r="R55">
            <v>0</v>
          </cell>
        </row>
        <row r="56">
          <cell r="B56" t="str">
            <v>16-03-8317</v>
          </cell>
          <cell r="C56">
            <v>3</v>
          </cell>
          <cell r="D56">
            <v>42422</v>
          </cell>
          <cell r="E56">
            <v>42422</v>
          </cell>
          <cell r="F56" t="str">
            <v>Dir 6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 t="str">
            <v>x</v>
          </cell>
          <cell r="M56">
            <v>42430</v>
          </cell>
          <cell r="N56">
            <v>42460</v>
          </cell>
          <cell r="O56">
            <v>3</v>
          </cell>
          <cell r="P56" t="str">
            <v>x</v>
          </cell>
          <cell r="Q56" t="str">
            <v>KfZ - Diebstahl</v>
          </cell>
          <cell r="R56">
            <v>0</v>
          </cell>
        </row>
        <row r="57">
          <cell r="B57" t="str">
            <v>16-03-8418</v>
          </cell>
          <cell r="C57">
            <v>4</v>
          </cell>
          <cell r="D57">
            <v>42422</v>
          </cell>
          <cell r="E57">
            <v>42422</v>
          </cell>
          <cell r="F57" t="str">
            <v>Dir 1</v>
          </cell>
          <cell r="G57" t="str">
            <v>x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42430</v>
          </cell>
          <cell r="N57">
            <v>42460</v>
          </cell>
          <cell r="O57">
            <v>3</v>
          </cell>
          <cell r="P57" t="str">
            <v>x</v>
          </cell>
          <cell r="Q57" t="str">
            <v>illeg. Zigarettenhandel</v>
          </cell>
          <cell r="R57">
            <v>0</v>
          </cell>
        </row>
        <row r="58">
          <cell r="B58" t="str">
            <v>16-03-8419</v>
          </cell>
          <cell r="C58">
            <v>4</v>
          </cell>
          <cell r="D58">
            <v>42422</v>
          </cell>
          <cell r="E58">
            <v>42422</v>
          </cell>
          <cell r="F58" t="str">
            <v>Dir 2</v>
          </cell>
          <cell r="G58">
            <v>0</v>
          </cell>
          <cell r="H58" t="str">
            <v>x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42430</v>
          </cell>
          <cell r="N58">
            <v>42460</v>
          </cell>
          <cell r="O58">
            <v>3</v>
          </cell>
          <cell r="P58" t="str">
            <v>x</v>
          </cell>
          <cell r="Q58" t="str">
            <v>Kantstr.</v>
          </cell>
          <cell r="R58">
            <v>0</v>
          </cell>
        </row>
        <row r="59">
          <cell r="B59" t="str">
            <v>16-03-8420</v>
          </cell>
          <cell r="C59">
            <v>4</v>
          </cell>
          <cell r="D59">
            <v>42422</v>
          </cell>
          <cell r="E59">
            <v>42422</v>
          </cell>
          <cell r="F59" t="str">
            <v>Dir 2</v>
          </cell>
          <cell r="G59">
            <v>0</v>
          </cell>
          <cell r="H59" t="str">
            <v>x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42430</v>
          </cell>
          <cell r="N59">
            <v>42460</v>
          </cell>
          <cell r="O59">
            <v>3</v>
          </cell>
          <cell r="P59" t="str">
            <v>x</v>
          </cell>
          <cell r="Q59" t="str">
            <v>kbO Altstadt Spandau</v>
          </cell>
          <cell r="R59">
            <v>0</v>
          </cell>
        </row>
        <row r="60">
          <cell r="B60" t="str">
            <v>16-03-8421</v>
          </cell>
          <cell r="C60">
            <v>4</v>
          </cell>
          <cell r="D60">
            <v>42422</v>
          </cell>
          <cell r="E60">
            <v>42422</v>
          </cell>
          <cell r="F60" t="str">
            <v>Dir 2</v>
          </cell>
          <cell r="G60">
            <v>0</v>
          </cell>
          <cell r="H60" t="str">
            <v>x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42430</v>
          </cell>
          <cell r="N60">
            <v>42460</v>
          </cell>
          <cell r="O60">
            <v>3</v>
          </cell>
          <cell r="P60" t="str">
            <v>x</v>
          </cell>
          <cell r="Q60" t="str">
            <v>Adenauerplatz</v>
          </cell>
          <cell r="R60">
            <v>0</v>
          </cell>
        </row>
        <row r="61">
          <cell r="B61" t="str">
            <v>16-03-8422</v>
          </cell>
          <cell r="C61">
            <v>4</v>
          </cell>
          <cell r="D61">
            <v>42422</v>
          </cell>
          <cell r="E61">
            <v>42422</v>
          </cell>
          <cell r="F61" t="str">
            <v>Dir 2</v>
          </cell>
          <cell r="G61">
            <v>0</v>
          </cell>
          <cell r="H61" t="str">
            <v>x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42430</v>
          </cell>
          <cell r="N61">
            <v>42460</v>
          </cell>
          <cell r="O61">
            <v>3</v>
          </cell>
          <cell r="P61" t="str">
            <v>x</v>
          </cell>
          <cell r="Q61" t="str">
            <v>U-Bhf. Bismarckstr.</v>
          </cell>
          <cell r="R61">
            <v>0</v>
          </cell>
        </row>
        <row r="62">
          <cell r="B62" t="str">
            <v>16-03-8423</v>
          </cell>
          <cell r="C62">
            <v>4</v>
          </cell>
          <cell r="D62">
            <v>42422</v>
          </cell>
          <cell r="E62">
            <v>42422</v>
          </cell>
          <cell r="F62" t="str">
            <v>Dir 2</v>
          </cell>
          <cell r="G62">
            <v>0</v>
          </cell>
          <cell r="H62" t="str">
            <v>x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42430</v>
          </cell>
          <cell r="N62">
            <v>42460</v>
          </cell>
          <cell r="O62">
            <v>3</v>
          </cell>
          <cell r="P62" t="str">
            <v>x</v>
          </cell>
          <cell r="Q62" t="str">
            <v>ZOB/ Kaiserdamm</v>
          </cell>
          <cell r="R62">
            <v>0</v>
          </cell>
        </row>
        <row r="63">
          <cell r="B63" t="str">
            <v>16-03-8424</v>
          </cell>
          <cell r="C63">
            <v>4</v>
          </cell>
          <cell r="D63">
            <v>42422</v>
          </cell>
          <cell r="E63">
            <v>42422</v>
          </cell>
          <cell r="F63" t="str">
            <v>Dir 3</v>
          </cell>
          <cell r="G63">
            <v>0</v>
          </cell>
          <cell r="H63">
            <v>0</v>
          </cell>
          <cell r="I63" t="str">
            <v>x</v>
          </cell>
          <cell r="J63">
            <v>0</v>
          </cell>
          <cell r="K63">
            <v>0</v>
          </cell>
          <cell r="L63">
            <v>0</v>
          </cell>
          <cell r="M63">
            <v>42430</v>
          </cell>
          <cell r="N63">
            <v>42460</v>
          </cell>
          <cell r="O63">
            <v>3</v>
          </cell>
          <cell r="P63" t="str">
            <v>x</v>
          </cell>
          <cell r="Q63" t="str">
            <v>Brennpunkt A 36</v>
          </cell>
          <cell r="R63">
            <v>0</v>
          </cell>
        </row>
        <row r="64">
          <cell r="B64" t="str">
            <v>16-03-8425</v>
          </cell>
          <cell r="C64">
            <v>4</v>
          </cell>
          <cell r="D64">
            <v>42422</v>
          </cell>
          <cell r="E64">
            <v>42422</v>
          </cell>
          <cell r="F64" t="str">
            <v>Dir 3</v>
          </cell>
          <cell r="G64">
            <v>0</v>
          </cell>
          <cell r="H64">
            <v>0</v>
          </cell>
          <cell r="I64" t="str">
            <v>x</v>
          </cell>
          <cell r="J64">
            <v>0</v>
          </cell>
          <cell r="K64">
            <v>0</v>
          </cell>
          <cell r="L64">
            <v>0</v>
          </cell>
          <cell r="M64">
            <v>42430</v>
          </cell>
          <cell r="N64">
            <v>42460</v>
          </cell>
          <cell r="O64">
            <v>3</v>
          </cell>
          <cell r="P64" t="str">
            <v>x</v>
          </cell>
          <cell r="Q64" t="str">
            <v>kbO Leopoldplatz</v>
          </cell>
          <cell r="R64">
            <v>0</v>
          </cell>
        </row>
        <row r="65">
          <cell r="B65" t="str">
            <v>16-03-8426</v>
          </cell>
          <cell r="C65">
            <v>4</v>
          </cell>
          <cell r="D65">
            <v>42422</v>
          </cell>
          <cell r="E65">
            <v>42422</v>
          </cell>
          <cell r="F65" t="str">
            <v>Dir 6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 t="str">
            <v>x</v>
          </cell>
          <cell r="M65">
            <v>42430</v>
          </cell>
          <cell r="N65">
            <v>42460</v>
          </cell>
          <cell r="O65">
            <v>3</v>
          </cell>
          <cell r="P65" t="str">
            <v>x</v>
          </cell>
          <cell r="Q65" t="str">
            <v>Wohnraumeinbruch</v>
          </cell>
          <cell r="R65">
            <v>0</v>
          </cell>
        </row>
        <row r="66">
          <cell r="B66" t="str">
            <v>16-03-8427</v>
          </cell>
          <cell r="C66">
            <v>4</v>
          </cell>
          <cell r="D66">
            <v>42422</v>
          </cell>
          <cell r="E66">
            <v>42422</v>
          </cell>
          <cell r="F66" t="str">
            <v>Dir 6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 t="str">
            <v>x</v>
          </cell>
          <cell r="M66">
            <v>42430</v>
          </cell>
          <cell r="N66">
            <v>42460</v>
          </cell>
          <cell r="O66">
            <v>3</v>
          </cell>
          <cell r="P66" t="str">
            <v>x</v>
          </cell>
          <cell r="Q66" t="str">
            <v>KfZ - Diebstahl</v>
          </cell>
          <cell r="R66">
            <v>0</v>
          </cell>
        </row>
        <row r="67">
          <cell r="B67" t="str">
            <v>16-03-8428</v>
          </cell>
          <cell r="C67">
            <v>4</v>
          </cell>
          <cell r="D67">
            <v>42424</v>
          </cell>
          <cell r="E67">
            <v>42424</v>
          </cell>
          <cell r="F67" t="str">
            <v>Dir 4</v>
          </cell>
          <cell r="G67">
            <v>0</v>
          </cell>
          <cell r="H67">
            <v>0</v>
          </cell>
          <cell r="I67">
            <v>0</v>
          </cell>
          <cell r="J67" t="str">
            <v>x</v>
          </cell>
          <cell r="K67">
            <v>0</v>
          </cell>
          <cell r="L67">
            <v>0</v>
          </cell>
          <cell r="M67">
            <v>42430</v>
          </cell>
          <cell r="N67">
            <v>42460</v>
          </cell>
          <cell r="O67">
            <v>3</v>
          </cell>
          <cell r="P67" t="str">
            <v>x</v>
          </cell>
          <cell r="Q67" t="str">
            <v>Schöneberg-Nord</v>
          </cell>
          <cell r="R67">
            <v>0</v>
          </cell>
        </row>
        <row r="68">
          <cell r="B68" t="str">
            <v>16-03-8429</v>
          </cell>
          <cell r="C68">
            <v>4</v>
          </cell>
          <cell r="D68">
            <v>42424</v>
          </cell>
          <cell r="E68">
            <v>42424</v>
          </cell>
          <cell r="F68" t="str">
            <v>LKA St 12</v>
          </cell>
          <cell r="G68">
            <v>0</v>
          </cell>
          <cell r="H68">
            <v>0</v>
          </cell>
          <cell r="I68" t="str">
            <v>x</v>
          </cell>
          <cell r="J68">
            <v>0</v>
          </cell>
          <cell r="K68">
            <v>0</v>
          </cell>
          <cell r="L68">
            <v>0</v>
          </cell>
          <cell r="M68">
            <v>42447</v>
          </cell>
          <cell r="N68">
            <v>42460</v>
          </cell>
          <cell r="O68">
            <v>3</v>
          </cell>
          <cell r="P68">
            <v>0</v>
          </cell>
          <cell r="Q68" t="str">
            <v>Taschendiebstahl A 34</v>
          </cell>
          <cell r="R68" t="str">
            <v>Schirmkonzeption</v>
          </cell>
        </row>
        <row r="69">
          <cell r="B69" t="str">
            <v>16-04-8201</v>
          </cell>
          <cell r="C69">
            <v>2</v>
          </cell>
          <cell r="D69" t="str">
            <v>CUG</v>
          </cell>
          <cell r="E69">
            <v>42460</v>
          </cell>
          <cell r="F69" t="str">
            <v>LKA 33</v>
          </cell>
          <cell r="G69" t="str">
            <v>x</v>
          </cell>
          <cell r="H69" t="str">
            <v>x</v>
          </cell>
          <cell r="I69" t="str">
            <v>x</v>
          </cell>
          <cell r="J69" t="str">
            <v>x</v>
          </cell>
          <cell r="K69" t="str">
            <v>x</v>
          </cell>
          <cell r="L69" t="str">
            <v>x</v>
          </cell>
          <cell r="M69">
            <v>42461</v>
          </cell>
          <cell r="N69">
            <v>42490</v>
          </cell>
          <cell r="O69">
            <v>4</v>
          </cell>
          <cell r="P69">
            <v>0</v>
          </cell>
          <cell r="Q69" t="str">
            <v>Glücksspiel</v>
          </cell>
          <cell r="R69" t="str">
            <v>direktionsübergreifend (1 - 6)</v>
          </cell>
        </row>
        <row r="70">
          <cell r="B70" t="str">
            <v>16-04-8202</v>
          </cell>
          <cell r="C70">
            <v>2</v>
          </cell>
          <cell r="D70" t="str">
            <v>CUG</v>
          </cell>
          <cell r="E70">
            <v>42460</v>
          </cell>
          <cell r="F70" t="str">
            <v>Dir 3</v>
          </cell>
          <cell r="G70">
            <v>0</v>
          </cell>
          <cell r="H70">
            <v>0</v>
          </cell>
          <cell r="I70" t="str">
            <v>x</v>
          </cell>
          <cell r="J70">
            <v>0</v>
          </cell>
          <cell r="K70">
            <v>0</v>
          </cell>
          <cell r="L70">
            <v>0</v>
          </cell>
          <cell r="M70">
            <v>42461</v>
          </cell>
          <cell r="N70">
            <v>42490</v>
          </cell>
          <cell r="O70">
            <v>4</v>
          </cell>
          <cell r="P70">
            <v>0</v>
          </cell>
          <cell r="Q70" t="str">
            <v>Kleiner Tiergarten</v>
          </cell>
          <cell r="R70">
            <v>0</v>
          </cell>
        </row>
        <row r="71">
          <cell r="B71" t="str">
            <v>16-04-8203</v>
          </cell>
          <cell r="C71">
            <v>2</v>
          </cell>
          <cell r="D71" t="str">
            <v>CUG</v>
          </cell>
          <cell r="E71">
            <v>42460</v>
          </cell>
          <cell r="F71" t="str">
            <v>Dir 3</v>
          </cell>
          <cell r="G71">
            <v>0</v>
          </cell>
          <cell r="H71">
            <v>0</v>
          </cell>
          <cell r="I71" t="str">
            <v>x</v>
          </cell>
          <cell r="J71">
            <v>0</v>
          </cell>
          <cell r="K71">
            <v>0</v>
          </cell>
          <cell r="L71">
            <v>0</v>
          </cell>
          <cell r="M71">
            <v>42461</v>
          </cell>
          <cell r="N71">
            <v>42490</v>
          </cell>
          <cell r="O71">
            <v>4</v>
          </cell>
          <cell r="P71">
            <v>0</v>
          </cell>
          <cell r="Q71" t="str">
            <v>Sichere Mitte</v>
          </cell>
          <cell r="R71">
            <v>0</v>
          </cell>
        </row>
        <row r="72">
          <cell r="B72" t="str">
            <v>16-04-8204</v>
          </cell>
          <cell r="C72">
            <v>2</v>
          </cell>
          <cell r="D72" t="str">
            <v>CUG</v>
          </cell>
          <cell r="E72">
            <v>42460</v>
          </cell>
          <cell r="F72" t="str">
            <v>Dir 5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x</v>
          </cell>
          <cell r="L72">
            <v>0</v>
          </cell>
          <cell r="M72">
            <v>42461</v>
          </cell>
          <cell r="N72">
            <v>42490</v>
          </cell>
          <cell r="O72">
            <v>4</v>
          </cell>
          <cell r="P72">
            <v>0</v>
          </cell>
          <cell r="Q72" t="str">
            <v>kbO Rigaer Str.</v>
          </cell>
          <cell r="R72">
            <v>0</v>
          </cell>
        </row>
        <row r="73">
          <cell r="B73" t="str">
            <v>16-04-8205</v>
          </cell>
          <cell r="C73">
            <v>2</v>
          </cell>
          <cell r="D73" t="str">
            <v>CUG</v>
          </cell>
          <cell r="E73">
            <v>42460</v>
          </cell>
          <cell r="F73" t="str">
            <v>Dir 5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x</v>
          </cell>
          <cell r="L73">
            <v>0</v>
          </cell>
          <cell r="M73">
            <v>42461</v>
          </cell>
          <cell r="N73">
            <v>42490</v>
          </cell>
          <cell r="O73">
            <v>4</v>
          </cell>
          <cell r="P73">
            <v>0</v>
          </cell>
          <cell r="Q73" t="str">
            <v>kbO Kottbusser Tor</v>
          </cell>
          <cell r="R73">
            <v>0</v>
          </cell>
        </row>
        <row r="74">
          <cell r="B74" t="str">
            <v>16-04-8206</v>
          </cell>
          <cell r="C74">
            <v>2</v>
          </cell>
          <cell r="D74" t="str">
            <v>CUG</v>
          </cell>
          <cell r="E74">
            <v>42460</v>
          </cell>
          <cell r="F74" t="str">
            <v>Dir 5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x</v>
          </cell>
          <cell r="L74">
            <v>0</v>
          </cell>
          <cell r="M74">
            <v>42461</v>
          </cell>
          <cell r="N74">
            <v>42490</v>
          </cell>
          <cell r="O74">
            <v>4</v>
          </cell>
          <cell r="P74">
            <v>0</v>
          </cell>
          <cell r="Q74" t="str">
            <v>kbO RAW</v>
          </cell>
          <cell r="R74">
            <v>0</v>
          </cell>
        </row>
        <row r="75">
          <cell r="B75" t="str">
            <v>16-04-8207</v>
          </cell>
          <cell r="C75">
            <v>2</v>
          </cell>
          <cell r="D75" t="str">
            <v>CUG</v>
          </cell>
          <cell r="E75">
            <v>42460</v>
          </cell>
          <cell r="F75" t="str">
            <v>Dir 5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x</v>
          </cell>
          <cell r="L75">
            <v>0</v>
          </cell>
          <cell r="M75">
            <v>42461</v>
          </cell>
          <cell r="N75">
            <v>42490</v>
          </cell>
          <cell r="O75">
            <v>4</v>
          </cell>
          <cell r="P75">
            <v>0</v>
          </cell>
          <cell r="Q75" t="str">
            <v>kbO Görlitzer Park</v>
          </cell>
          <cell r="R75">
            <v>0</v>
          </cell>
        </row>
        <row r="76">
          <cell r="B76" t="str">
            <v>16-04-8208</v>
          </cell>
          <cell r="C76">
            <v>2</v>
          </cell>
          <cell r="D76" t="str">
            <v>CUG</v>
          </cell>
          <cell r="E76">
            <v>42460</v>
          </cell>
          <cell r="F76" t="str">
            <v>Dir 5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x</v>
          </cell>
          <cell r="L76">
            <v>0</v>
          </cell>
          <cell r="M76">
            <v>42461</v>
          </cell>
          <cell r="N76">
            <v>42490</v>
          </cell>
          <cell r="O76">
            <v>4</v>
          </cell>
          <cell r="P76">
            <v>0</v>
          </cell>
          <cell r="Q76" t="str">
            <v>kbO RAW - Kottbusser Tor ganzheitlich</v>
          </cell>
          <cell r="R76">
            <v>0</v>
          </cell>
        </row>
        <row r="77">
          <cell r="B77" t="str">
            <v>16-04-8308</v>
          </cell>
          <cell r="C77">
            <v>3</v>
          </cell>
          <cell r="D77" t="str">
            <v>CUG</v>
          </cell>
          <cell r="E77">
            <v>42460</v>
          </cell>
          <cell r="F77" t="str">
            <v>Dir 2</v>
          </cell>
          <cell r="G77">
            <v>0</v>
          </cell>
          <cell r="H77" t="str">
            <v>x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42461</v>
          </cell>
          <cell r="N77">
            <v>42490</v>
          </cell>
          <cell r="O77">
            <v>4</v>
          </cell>
          <cell r="P77" t="str">
            <v>x</v>
          </cell>
          <cell r="Q77" t="str">
            <v>kbO Kantstr.</v>
          </cell>
          <cell r="R77">
            <v>0</v>
          </cell>
        </row>
        <row r="78">
          <cell r="B78" t="str">
            <v>16-04-8309</v>
          </cell>
          <cell r="C78">
            <v>3</v>
          </cell>
          <cell r="D78" t="str">
            <v>CUG</v>
          </cell>
          <cell r="E78">
            <v>42460</v>
          </cell>
          <cell r="F78" t="str">
            <v>Dir 2</v>
          </cell>
          <cell r="G78">
            <v>0</v>
          </cell>
          <cell r="H78" t="str">
            <v>x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42461</v>
          </cell>
          <cell r="N78">
            <v>42490</v>
          </cell>
          <cell r="O78">
            <v>4</v>
          </cell>
          <cell r="P78" t="str">
            <v>x</v>
          </cell>
          <cell r="Q78" t="str">
            <v>ZOB/ Kaiserdamm</v>
          </cell>
          <cell r="R78">
            <v>0</v>
          </cell>
        </row>
        <row r="79">
          <cell r="B79" t="str">
            <v>16-04-8310</v>
          </cell>
          <cell r="C79">
            <v>3</v>
          </cell>
          <cell r="D79" t="str">
            <v>CUG</v>
          </cell>
          <cell r="E79">
            <v>42460</v>
          </cell>
          <cell r="F79" t="str">
            <v>Dir 2</v>
          </cell>
          <cell r="G79">
            <v>0</v>
          </cell>
          <cell r="H79" t="str">
            <v>x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42461</v>
          </cell>
          <cell r="N79">
            <v>42490</v>
          </cell>
          <cell r="O79">
            <v>4</v>
          </cell>
          <cell r="P79" t="str">
            <v>x</v>
          </cell>
          <cell r="Q79" t="str">
            <v>Hütchenspiel</v>
          </cell>
          <cell r="R79" t="str">
            <v>direktionsübergreifend (2, 3)</v>
          </cell>
        </row>
        <row r="80">
          <cell r="B80" t="str">
            <v>16-04-8311</v>
          </cell>
          <cell r="C80">
            <v>3</v>
          </cell>
          <cell r="D80" t="str">
            <v>CUG</v>
          </cell>
          <cell r="E80">
            <v>42460</v>
          </cell>
          <cell r="F80" t="str">
            <v>Dir 3</v>
          </cell>
          <cell r="G80">
            <v>0</v>
          </cell>
          <cell r="H80">
            <v>0</v>
          </cell>
          <cell r="I80" t="str">
            <v>x</v>
          </cell>
          <cell r="J80">
            <v>0</v>
          </cell>
          <cell r="K80">
            <v>0</v>
          </cell>
          <cell r="L80">
            <v>0</v>
          </cell>
          <cell r="M80">
            <v>42461</v>
          </cell>
          <cell r="N80">
            <v>42490</v>
          </cell>
          <cell r="O80">
            <v>4</v>
          </cell>
          <cell r="P80" t="str">
            <v>x</v>
          </cell>
          <cell r="Q80" t="str">
            <v>Brennpunkt A 36</v>
          </cell>
          <cell r="R80">
            <v>0</v>
          </cell>
        </row>
        <row r="81">
          <cell r="B81" t="str">
            <v>16-04-8312</v>
          </cell>
          <cell r="C81">
            <v>3</v>
          </cell>
          <cell r="D81" t="str">
            <v>CUG</v>
          </cell>
          <cell r="E81">
            <v>42460</v>
          </cell>
          <cell r="F81" t="str">
            <v>Dir 3</v>
          </cell>
          <cell r="G81">
            <v>0</v>
          </cell>
          <cell r="H81">
            <v>0</v>
          </cell>
          <cell r="I81" t="str">
            <v>x</v>
          </cell>
          <cell r="J81">
            <v>0</v>
          </cell>
          <cell r="K81">
            <v>0</v>
          </cell>
          <cell r="L81">
            <v>0</v>
          </cell>
          <cell r="M81">
            <v>42461</v>
          </cell>
          <cell r="N81">
            <v>42490</v>
          </cell>
          <cell r="O81">
            <v>4</v>
          </cell>
          <cell r="P81" t="str">
            <v>x</v>
          </cell>
          <cell r="Q81" t="str">
            <v>kbO Leopoldplatz</v>
          </cell>
          <cell r="R81">
            <v>0</v>
          </cell>
        </row>
        <row r="82">
          <cell r="B82" t="str">
            <v>16-04-8313</v>
          </cell>
          <cell r="C82">
            <v>3</v>
          </cell>
          <cell r="D82" t="str">
            <v>CUG</v>
          </cell>
          <cell r="E82">
            <v>42460</v>
          </cell>
          <cell r="F82" t="str">
            <v>Dir 4</v>
          </cell>
          <cell r="G82">
            <v>0</v>
          </cell>
          <cell r="H82">
            <v>0</v>
          </cell>
          <cell r="I82">
            <v>0</v>
          </cell>
          <cell r="J82" t="str">
            <v>x</v>
          </cell>
          <cell r="K82">
            <v>0</v>
          </cell>
          <cell r="L82">
            <v>0</v>
          </cell>
          <cell r="M82">
            <v>42461</v>
          </cell>
          <cell r="N82">
            <v>42490</v>
          </cell>
          <cell r="O82">
            <v>4</v>
          </cell>
          <cell r="P82" t="str">
            <v>x</v>
          </cell>
          <cell r="Q82" t="str">
            <v>Wohnraumeinbruch A 47</v>
          </cell>
          <cell r="R82">
            <v>0</v>
          </cell>
        </row>
        <row r="83">
          <cell r="B83" t="str">
            <v>16-04-8314</v>
          </cell>
          <cell r="C83">
            <v>3</v>
          </cell>
          <cell r="D83" t="str">
            <v>CUG</v>
          </cell>
          <cell r="E83">
            <v>42460</v>
          </cell>
          <cell r="F83" t="str">
            <v>Dir 4</v>
          </cell>
          <cell r="G83">
            <v>0</v>
          </cell>
          <cell r="H83">
            <v>0</v>
          </cell>
          <cell r="I83">
            <v>0</v>
          </cell>
          <cell r="J83" t="str">
            <v>x</v>
          </cell>
          <cell r="K83">
            <v>0</v>
          </cell>
          <cell r="L83">
            <v>0</v>
          </cell>
          <cell r="M83">
            <v>42461</v>
          </cell>
          <cell r="N83">
            <v>42490</v>
          </cell>
          <cell r="O83">
            <v>4</v>
          </cell>
          <cell r="P83" t="str">
            <v>x</v>
          </cell>
          <cell r="Q83" t="str">
            <v>Lokalkontrollen Schöneberg-Nord</v>
          </cell>
          <cell r="R83">
            <v>0</v>
          </cell>
        </row>
        <row r="84">
          <cell r="B84" t="str">
            <v>16-04-8415</v>
          </cell>
          <cell r="C84">
            <v>4</v>
          </cell>
          <cell r="D84" t="str">
            <v>CUG</v>
          </cell>
          <cell r="E84">
            <v>42460</v>
          </cell>
          <cell r="F84" t="str">
            <v>Dir 1</v>
          </cell>
          <cell r="G84" t="str">
            <v>x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42461</v>
          </cell>
          <cell r="N84">
            <v>42490</v>
          </cell>
          <cell r="O84">
            <v>4</v>
          </cell>
          <cell r="P84" t="str">
            <v>x</v>
          </cell>
          <cell r="Q84" t="str">
            <v>illeg. Zigarettenhandel</v>
          </cell>
          <cell r="R84">
            <v>0</v>
          </cell>
        </row>
        <row r="85">
          <cell r="B85" t="str">
            <v>16-04-8416</v>
          </cell>
          <cell r="C85">
            <v>4</v>
          </cell>
          <cell r="D85" t="str">
            <v>CUG</v>
          </cell>
          <cell r="E85">
            <v>42460</v>
          </cell>
          <cell r="F85" t="str">
            <v>Dir 2</v>
          </cell>
          <cell r="G85">
            <v>0</v>
          </cell>
          <cell r="H85" t="str">
            <v>x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42461</v>
          </cell>
          <cell r="N85">
            <v>42490</v>
          </cell>
          <cell r="O85">
            <v>4</v>
          </cell>
          <cell r="P85" t="str">
            <v>x</v>
          </cell>
          <cell r="Q85" t="str">
            <v>kbO Stuttgarter Platz</v>
          </cell>
          <cell r="R85">
            <v>0</v>
          </cell>
        </row>
        <row r="86">
          <cell r="B86" t="str">
            <v>16-04-8417</v>
          </cell>
          <cell r="C86">
            <v>4</v>
          </cell>
          <cell r="D86" t="str">
            <v>CUG</v>
          </cell>
          <cell r="E86">
            <v>42460</v>
          </cell>
          <cell r="F86" t="str">
            <v>Dir 2</v>
          </cell>
          <cell r="G86">
            <v>0</v>
          </cell>
          <cell r="H86" t="str">
            <v>x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42461</v>
          </cell>
          <cell r="N86">
            <v>42490</v>
          </cell>
          <cell r="O86">
            <v>4</v>
          </cell>
          <cell r="P86" t="str">
            <v>x</v>
          </cell>
          <cell r="Q86" t="str">
            <v>ZOB/ Kaiserdamm</v>
          </cell>
          <cell r="R86">
            <v>0</v>
          </cell>
        </row>
        <row r="87">
          <cell r="B87" t="str">
            <v>16-04-8418</v>
          </cell>
          <cell r="C87">
            <v>4</v>
          </cell>
          <cell r="D87" t="str">
            <v>CUG</v>
          </cell>
          <cell r="E87">
            <v>42460</v>
          </cell>
          <cell r="F87" t="str">
            <v>Dir 2</v>
          </cell>
          <cell r="G87">
            <v>0</v>
          </cell>
          <cell r="H87" t="str">
            <v>x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42461</v>
          </cell>
          <cell r="N87">
            <v>42490</v>
          </cell>
          <cell r="O87">
            <v>4</v>
          </cell>
          <cell r="P87" t="str">
            <v>x</v>
          </cell>
          <cell r="Q87" t="str">
            <v>Hütchenspiel</v>
          </cell>
          <cell r="R87" t="str">
            <v>direktionsübergreifend (2, 3)</v>
          </cell>
        </row>
        <row r="88">
          <cell r="B88" t="str">
            <v>16-04-8419</v>
          </cell>
          <cell r="C88">
            <v>4</v>
          </cell>
          <cell r="D88" t="str">
            <v>CUG</v>
          </cell>
          <cell r="E88">
            <v>42460</v>
          </cell>
          <cell r="F88" t="str">
            <v>Dir 2</v>
          </cell>
          <cell r="G88">
            <v>0</v>
          </cell>
          <cell r="H88" t="str">
            <v>x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42461</v>
          </cell>
          <cell r="N88">
            <v>42490</v>
          </cell>
          <cell r="O88">
            <v>4</v>
          </cell>
          <cell r="P88" t="str">
            <v>x</v>
          </cell>
          <cell r="Q88" t="str">
            <v>kbO Altstadt Spandau</v>
          </cell>
          <cell r="R88" t="str">
            <v>seit 26.04. kein kbO mehr</v>
          </cell>
        </row>
        <row r="89">
          <cell r="B89" t="str">
            <v>16-04-8420</v>
          </cell>
          <cell r="C89">
            <v>4</v>
          </cell>
          <cell r="D89" t="str">
            <v>CUG</v>
          </cell>
          <cell r="E89">
            <v>42460</v>
          </cell>
          <cell r="F89" t="str">
            <v>Dir 2</v>
          </cell>
          <cell r="G89">
            <v>0</v>
          </cell>
          <cell r="H89" t="str">
            <v>x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42461</v>
          </cell>
          <cell r="N89">
            <v>42490</v>
          </cell>
          <cell r="O89">
            <v>4</v>
          </cell>
          <cell r="P89" t="str">
            <v>x</v>
          </cell>
          <cell r="Q89" t="str">
            <v>kbO U-Bhf. Bismarckstr.</v>
          </cell>
          <cell r="R89" t="str">
            <v>seit 28.04. kein kbO mehr</v>
          </cell>
        </row>
        <row r="90">
          <cell r="B90" t="str">
            <v>16-04-8421</v>
          </cell>
          <cell r="C90">
            <v>4</v>
          </cell>
          <cell r="D90" t="str">
            <v>CUG</v>
          </cell>
          <cell r="E90">
            <v>42460</v>
          </cell>
          <cell r="F90" t="str">
            <v>Dir 2</v>
          </cell>
          <cell r="G90">
            <v>0</v>
          </cell>
          <cell r="H90" t="str">
            <v>x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42461</v>
          </cell>
          <cell r="N90">
            <v>42490</v>
          </cell>
          <cell r="O90">
            <v>4</v>
          </cell>
          <cell r="P90" t="str">
            <v>x</v>
          </cell>
          <cell r="Q90" t="str">
            <v>Koeltzepark</v>
          </cell>
          <cell r="R90">
            <v>0</v>
          </cell>
        </row>
        <row r="91">
          <cell r="B91" t="str">
            <v>16-04-8422</v>
          </cell>
          <cell r="C91">
            <v>4</v>
          </cell>
          <cell r="D91" t="str">
            <v>CUG</v>
          </cell>
          <cell r="E91">
            <v>42460</v>
          </cell>
          <cell r="F91" t="str">
            <v>Dir 2</v>
          </cell>
          <cell r="G91">
            <v>0</v>
          </cell>
          <cell r="H91" t="str">
            <v>x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42461</v>
          </cell>
          <cell r="N91">
            <v>42490</v>
          </cell>
          <cell r="O91">
            <v>4</v>
          </cell>
          <cell r="P91" t="str">
            <v>x</v>
          </cell>
          <cell r="Q91" t="str">
            <v>kbO Adenauerplatz</v>
          </cell>
          <cell r="R91" t="str">
            <v>seit 28.04. kein kbO mehr</v>
          </cell>
        </row>
        <row r="92">
          <cell r="B92" t="str">
            <v>16-04-8423</v>
          </cell>
          <cell r="C92">
            <v>4</v>
          </cell>
          <cell r="D92" t="str">
            <v>CUG</v>
          </cell>
          <cell r="E92">
            <v>42460</v>
          </cell>
          <cell r="F92" t="str">
            <v>Dir 3</v>
          </cell>
          <cell r="G92">
            <v>0</v>
          </cell>
          <cell r="H92">
            <v>0</v>
          </cell>
          <cell r="I92" t="str">
            <v>x</v>
          </cell>
          <cell r="J92">
            <v>0</v>
          </cell>
          <cell r="K92">
            <v>0</v>
          </cell>
          <cell r="L92">
            <v>0</v>
          </cell>
          <cell r="M92">
            <v>42461</v>
          </cell>
          <cell r="N92">
            <v>42490</v>
          </cell>
          <cell r="O92">
            <v>4</v>
          </cell>
          <cell r="P92" t="str">
            <v>x</v>
          </cell>
          <cell r="Q92" t="str">
            <v>kbO Leopoldplatz</v>
          </cell>
          <cell r="R92">
            <v>0</v>
          </cell>
        </row>
        <row r="93">
          <cell r="B93" t="str">
            <v>16-04-8424</v>
          </cell>
          <cell r="C93">
            <v>4</v>
          </cell>
          <cell r="D93" t="str">
            <v>CUG</v>
          </cell>
          <cell r="E93">
            <v>42460</v>
          </cell>
          <cell r="F93" t="str">
            <v>LKA St 12</v>
          </cell>
          <cell r="G93">
            <v>0</v>
          </cell>
          <cell r="H93">
            <v>0</v>
          </cell>
          <cell r="I93" t="str">
            <v>x</v>
          </cell>
          <cell r="J93">
            <v>0</v>
          </cell>
          <cell r="K93">
            <v>0</v>
          </cell>
          <cell r="L93">
            <v>0</v>
          </cell>
          <cell r="M93">
            <v>42461</v>
          </cell>
          <cell r="N93">
            <v>42490</v>
          </cell>
          <cell r="O93">
            <v>4</v>
          </cell>
          <cell r="P93">
            <v>0</v>
          </cell>
          <cell r="Q93" t="str">
            <v>Taschendiebstahl A 34</v>
          </cell>
          <cell r="R93" t="str">
            <v>Schirmkonzeption</v>
          </cell>
        </row>
        <row r="94">
          <cell r="B94" t="str">
            <v>16-04-8425</v>
          </cell>
          <cell r="C94">
            <v>4</v>
          </cell>
          <cell r="D94" t="str">
            <v>CUG</v>
          </cell>
          <cell r="E94">
            <v>42460</v>
          </cell>
          <cell r="F94" t="str">
            <v>Dir 4</v>
          </cell>
          <cell r="G94">
            <v>0</v>
          </cell>
          <cell r="H94">
            <v>0</v>
          </cell>
          <cell r="I94">
            <v>0</v>
          </cell>
          <cell r="J94" t="str">
            <v>x</v>
          </cell>
          <cell r="K94">
            <v>0</v>
          </cell>
          <cell r="L94">
            <v>0</v>
          </cell>
          <cell r="M94">
            <v>42461</v>
          </cell>
          <cell r="N94">
            <v>42490</v>
          </cell>
          <cell r="O94">
            <v>4</v>
          </cell>
          <cell r="P94" t="str">
            <v>x</v>
          </cell>
          <cell r="Q94" t="str">
            <v>kbO Schöneberg-Nord</v>
          </cell>
          <cell r="R94">
            <v>0</v>
          </cell>
        </row>
        <row r="95">
          <cell r="B95" t="str">
            <v>16-04-8429</v>
          </cell>
          <cell r="C95">
            <v>4</v>
          </cell>
          <cell r="D95" t="str">
            <v>CUG</v>
          </cell>
          <cell r="E95">
            <v>42460</v>
          </cell>
          <cell r="F95" t="str">
            <v>Dir 6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 t="str">
            <v>x</v>
          </cell>
          <cell r="M95">
            <v>42461</v>
          </cell>
          <cell r="N95">
            <v>42490</v>
          </cell>
          <cell r="O95">
            <v>4</v>
          </cell>
          <cell r="P95" t="str">
            <v>x</v>
          </cell>
          <cell r="Q95" t="str">
            <v>Wohnraumeinbruch</v>
          </cell>
          <cell r="R95">
            <v>0</v>
          </cell>
        </row>
        <row r="96">
          <cell r="B96" t="str">
            <v>16-04-8430</v>
          </cell>
          <cell r="C96">
            <v>4</v>
          </cell>
          <cell r="D96" t="str">
            <v>CUG</v>
          </cell>
          <cell r="E96">
            <v>42460</v>
          </cell>
          <cell r="F96" t="str">
            <v>Dir 6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 t="str">
            <v>x</v>
          </cell>
          <cell r="M96">
            <v>42461</v>
          </cell>
          <cell r="N96">
            <v>42490</v>
          </cell>
          <cell r="O96">
            <v>4</v>
          </cell>
          <cell r="P96" t="str">
            <v>x</v>
          </cell>
          <cell r="Q96" t="str">
            <v>KfZ - Diebstahl</v>
          </cell>
          <cell r="R96">
            <v>0</v>
          </cell>
        </row>
        <row r="97">
          <cell r="B97" t="str">
            <v>16-04-8331</v>
          </cell>
          <cell r="C97">
            <v>3</v>
          </cell>
          <cell r="D97" t="str">
            <v>CUG</v>
          </cell>
          <cell r="E97">
            <v>42460</v>
          </cell>
          <cell r="F97" t="str">
            <v>LKA St 12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 t="str">
            <v>x</v>
          </cell>
          <cell r="M97">
            <v>42461</v>
          </cell>
          <cell r="N97">
            <v>42490</v>
          </cell>
          <cell r="O97">
            <v>4</v>
          </cell>
          <cell r="P97">
            <v>0</v>
          </cell>
          <cell r="Q97" t="str">
            <v>Fahrraddiebstahl A 65</v>
          </cell>
          <cell r="R97" t="str">
            <v>Schirmkonzeption</v>
          </cell>
        </row>
        <row r="98">
          <cell r="B98" t="str">
            <v>16-04-8332</v>
          </cell>
          <cell r="C98">
            <v>3</v>
          </cell>
          <cell r="D98" t="str">
            <v>CUG</v>
          </cell>
          <cell r="E98">
            <v>42460</v>
          </cell>
          <cell r="F98" t="str">
            <v>Dir 3</v>
          </cell>
          <cell r="G98">
            <v>0</v>
          </cell>
          <cell r="H98">
            <v>0</v>
          </cell>
          <cell r="I98" t="str">
            <v>x</v>
          </cell>
          <cell r="J98">
            <v>0</v>
          </cell>
          <cell r="K98">
            <v>0</v>
          </cell>
          <cell r="L98">
            <v>0</v>
          </cell>
          <cell r="M98">
            <v>42461</v>
          </cell>
          <cell r="N98">
            <v>42490</v>
          </cell>
          <cell r="O98">
            <v>4</v>
          </cell>
          <cell r="P98" t="str">
            <v>x</v>
          </cell>
          <cell r="Q98" t="str">
            <v>kbO Tiergarten Süd</v>
          </cell>
          <cell r="R98">
            <v>0</v>
          </cell>
        </row>
        <row r="99">
          <cell r="B99" t="str">
            <v>16-05-8201</v>
          </cell>
          <cell r="C99">
            <v>2</v>
          </cell>
          <cell r="D99" t="str">
            <v>CUG</v>
          </cell>
          <cell r="E99">
            <v>42489</v>
          </cell>
          <cell r="F99" t="str">
            <v>Dir 5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x</v>
          </cell>
          <cell r="L99">
            <v>0</v>
          </cell>
          <cell r="M99">
            <v>42491</v>
          </cell>
          <cell r="N99">
            <v>42521</v>
          </cell>
          <cell r="O99">
            <v>5</v>
          </cell>
          <cell r="P99">
            <v>0</v>
          </cell>
          <cell r="Q99" t="str">
            <v>kbO RAW - Kottbusser Tor ganzheitlich</v>
          </cell>
          <cell r="R99">
            <v>0</v>
          </cell>
        </row>
        <row r="100">
          <cell r="B100" t="str">
            <v>16-05-8302</v>
          </cell>
          <cell r="C100">
            <v>3</v>
          </cell>
          <cell r="D100" t="str">
            <v>CUG</v>
          </cell>
          <cell r="E100">
            <v>42489</v>
          </cell>
          <cell r="F100" t="str">
            <v>Dir 4</v>
          </cell>
          <cell r="G100">
            <v>0</v>
          </cell>
          <cell r="H100">
            <v>0</v>
          </cell>
          <cell r="I100">
            <v>0</v>
          </cell>
          <cell r="J100" t="str">
            <v>x</v>
          </cell>
          <cell r="K100">
            <v>0</v>
          </cell>
          <cell r="L100">
            <v>0</v>
          </cell>
          <cell r="M100">
            <v>42491</v>
          </cell>
          <cell r="N100">
            <v>42521</v>
          </cell>
          <cell r="O100">
            <v>5</v>
          </cell>
          <cell r="P100" t="str">
            <v>x</v>
          </cell>
          <cell r="Q100" t="str">
            <v>Lokalkontrollen Schöneberg-Nord</v>
          </cell>
          <cell r="R100">
            <v>0</v>
          </cell>
        </row>
        <row r="101">
          <cell r="B101" t="str">
            <v>16-05-8203</v>
          </cell>
          <cell r="C101">
            <v>2</v>
          </cell>
          <cell r="D101" t="str">
            <v>CUG</v>
          </cell>
          <cell r="E101">
            <v>42489</v>
          </cell>
          <cell r="F101" t="str">
            <v>LKA 33</v>
          </cell>
          <cell r="G101" t="str">
            <v>x</v>
          </cell>
          <cell r="H101" t="str">
            <v>x</v>
          </cell>
          <cell r="I101" t="str">
            <v>x</v>
          </cell>
          <cell r="J101" t="str">
            <v>x</v>
          </cell>
          <cell r="K101" t="str">
            <v>x</v>
          </cell>
          <cell r="L101" t="str">
            <v>x</v>
          </cell>
          <cell r="M101">
            <v>42491</v>
          </cell>
          <cell r="N101">
            <v>42521</v>
          </cell>
          <cell r="O101">
            <v>5</v>
          </cell>
          <cell r="P101">
            <v>0</v>
          </cell>
          <cell r="Q101" t="str">
            <v>Glücksspiel</v>
          </cell>
          <cell r="R101" t="str">
            <v>direktionsübergreifend (1 - 6)</v>
          </cell>
        </row>
        <row r="102">
          <cell r="B102" t="str">
            <v>16-05-8204</v>
          </cell>
          <cell r="C102">
            <v>2</v>
          </cell>
          <cell r="D102" t="str">
            <v>CUG</v>
          </cell>
          <cell r="E102">
            <v>42489</v>
          </cell>
          <cell r="F102" t="str">
            <v>Dir 2</v>
          </cell>
          <cell r="G102">
            <v>0</v>
          </cell>
          <cell r="H102" t="str">
            <v>x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42491</v>
          </cell>
          <cell r="N102">
            <v>42521</v>
          </cell>
          <cell r="O102">
            <v>5</v>
          </cell>
          <cell r="P102">
            <v>0</v>
          </cell>
          <cell r="Q102" t="str">
            <v>Hütchenspiel</v>
          </cell>
          <cell r="R102" t="str">
            <v>direktionsübergreifend (2, 3)</v>
          </cell>
        </row>
        <row r="103">
          <cell r="B103" t="str">
            <v>16-05-8205</v>
          </cell>
          <cell r="C103">
            <v>2</v>
          </cell>
          <cell r="D103" t="str">
            <v>CUG</v>
          </cell>
          <cell r="E103">
            <v>42489</v>
          </cell>
          <cell r="F103" t="str">
            <v>Dir 3</v>
          </cell>
          <cell r="G103">
            <v>0</v>
          </cell>
          <cell r="H103">
            <v>0</v>
          </cell>
          <cell r="I103" t="str">
            <v>x</v>
          </cell>
          <cell r="J103">
            <v>0</v>
          </cell>
          <cell r="K103">
            <v>0</v>
          </cell>
          <cell r="L103">
            <v>0</v>
          </cell>
          <cell r="M103">
            <v>42491</v>
          </cell>
          <cell r="N103">
            <v>42521</v>
          </cell>
          <cell r="O103">
            <v>5</v>
          </cell>
          <cell r="P103">
            <v>0</v>
          </cell>
          <cell r="Q103" t="str">
            <v>Sichere Mitte</v>
          </cell>
          <cell r="R103">
            <v>0</v>
          </cell>
        </row>
        <row r="104">
          <cell r="B104" t="str">
            <v>16-05-8206</v>
          </cell>
          <cell r="C104">
            <v>2</v>
          </cell>
          <cell r="D104" t="str">
            <v>CUG</v>
          </cell>
          <cell r="E104">
            <v>42489</v>
          </cell>
          <cell r="F104" t="str">
            <v>Dir 3</v>
          </cell>
          <cell r="G104">
            <v>0</v>
          </cell>
          <cell r="H104">
            <v>0</v>
          </cell>
          <cell r="I104" t="str">
            <v>x</v>
          </cell>
          <cell r="J104">
            <v>0</v>
          </cell>
          <cell r="K104">
            <v>0</v>
          </cell>
          <cell r="L104">
            <v>0</v>
          </cell>
          <cell r="M104">
            <v>42491</v>
          </cell>
          <cell r="N104">
            <v>42521</v>
          </cell>
          <cell r="O104">
            <v>5</v>
          </cell>
          <cell r="P104">
            <v>0</v>
          </cell>
          <cell r="Q104" t="str">
            <v>Kleiner Tiergarten</v>
          </cell>
          <cell r="R104">
            <v>0</v>
          </cell>
        </row>
        <row r="105">
          <cell r="B105" t="str">
            <v>16-05-8207</v>
          </cell>
          <cell r="C105">
            <v>2</v>
          </cell>
          <cell r="D105" t="str">
            <v>CUG</v>
          </cell>
          <cell r="E105">
            <v>42489</v>
          </cell>
          <cell r="F105" t="str">
            <v>Dir 5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x</v>
          </cell>
          <cell r="L105">
            <v>0</v>
          </cell>
          <cell r="M105">
            <v>42491</v>
          </cell>
          <cell r="N105">
            <v>42521</v>
          </cell>
          <cell r="O105">
            <v>5</v>
          </cell>
          <cell r="P105">
            <v>0</v>
          </cell>
          <cell r="Q105" t="str">
            <v>kbO Rigaer Str.</v>
          </cell>
          <cell r="R105">
            <v>0</v>
          </cell>
        </row>
        <row r="106">
          <cell r="B106" t="str">
            <v>16-05-8208</v>
          </cell>
          <cell r="C106">
            <v>2</v>
          </cell>
          <cell r="D106" t="str">
            <v>CUG</v>
          </cell>
          <cell r="E106">
            <v>42489</v>
          </cell>
          <cell r="F106" t="str">
            <v>Dir 5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x</v>
          </cell>
          <cell r="L106">
            <v>0</v>
          </cell>
          <cell r="M106">
            <v>42491</v>
          </cell>
          <cell r="N106">
            <v>42521</v>
          </cell>
          <cell r="O106">
            <v>5</v>
          </cell>
          <cell r="P106">
            <v>0</v>
          </cell>
          <cell r="Q106" t="str">
            <v>kbO Kottbusser Tor</v>
          </cell>
          <cell r="R106">
            <v>0</v>
          </cell>
        </row>
        <row r="107">
          <cell r="B107" t="str">
            <v>16-05-8209</v>
          </cell>
          <cell r="C107">
            <v>2</v>
          </cell>
          <cell r="D107" t="str">
            <v>CUG</v>
          </cell>
          <cell r="E107">
            <v>42489</v>
          </cell>
          <cell r="F107" t="str">
            <v>Dir 5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x</v>
          </cell>
          <cell r="L107">
            <v>0</v>
          </cell>
          <cell r="M107">
            <v>42491</v>
          </cell>
          <cell r="N107">
            <v>42521</v>
          </cell>
          <cell r="O107">
            <v>5</v>
          </cell>
          <cell r="P107">
            <v>0</v>
          </cell>
          <cell r="Q107" t="str">
            <v>kbO RAW</v>
          </cell>
          <cell r="R107">
            <v>0</v>
          </cell>
        </row>
        <row r="108">
          <cell r="B108" t="str">
            <v>16-05-8210</v>
          </cell>
          <cell r="C108">
            <v>2</v>
          </cell>
          <cell r="D108" t="str">
            <v>CUG</v>
          </cell>
          <cell r="E108">
            <v>42489</v>
          </cell>
          <cell r="F108" t="str">
            <v>Dir 5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x</v>
          </cell>
          <cell r="L108">
            <v>0</v>
          </cell>
          <cell r="M108">
            <v>42491</v>
          </cell>
          <cell r="N108">
            <v>42521</v>
          </cell>
          <cell r="O108">
            <v>5</v>
          </cell>
          <cell r="P108">
            <v>0</v>
          </cell>
          <cell r="Q108" t="str">
            <v>kbO Görlitzer Park</v>
          </cell>
          <cell r="R108">
            <v>0</v>
          </cell>
        </row>
        <row r="109">
          <cell r="B109" t="str">
            <v>16-05-8311</v>
          </cell>
          <cell r="C109">
            <v>3</v>
          </cell>
          <cell r="D109" t="str">
            <v>CUG</v>
          </cell>
          <cell r="E109">
            <v>42489</v>
          </cell>
          <cell r="F109" t="str">
            <v>LKA St 12</v>
          </cell>
          <cell r="G109" t="str">
            <v>x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42499</v>
          </cell>
          <cell r="N109">
            <v>42521</v>
          </cell>
          <cell r="O109">
            <v>5</v>
          </cell>
          <cell r="P109">
            <v>0</v>
          </cell>
          <cell r="Q109" t="str">
            <v>Keller/Boden A 16</v>
          </cell>
          <cell r="R109" t="str">
            <v>Schirmkonzeption</v>
          </cell>
        </row>
        <row r="110">
          <cell r="B110" t="str">
            <v>16-05-8312</v>
          </cell>
          <cell r="C110">
            <v>3</v>
          </cell>
          <cell r="D110" t="str">
            <v>CUG</v>
          </cell>
          <cell r="E110">
            <v>42489</v>
          </cell>
          <cell r="F110" t="str">
            <v>Dir 1</v>
          </cell>
          <cell r="G110" t="str">
            <v>x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42491</v>
          </cell>
          <cell r="N110">
            <v>42521</v>
          </cell>
          <cell r="O110">
            <v>5</v>
          </cell>
          <cell r="P110" t="str">
            <v>x</v>
          </cell>
          <cell r="Q110" t="str">
            <v>Mauerpark</v>
          </cell>
          <cell r="R110">
            <v>0</v>
          </cell>
        </row>
        <row r="111">
          <cell r="B111" t="str">
            <v>16-05-8313</v>
          </cell>
          <cell r="C111">
            <v>3</v>
          </cell>
          <cell r="D111" t="str">
            <v>CUG</v>
          </cell>
          <cell r="E111">
            <v>42489</v>
          </cell>
          <cell r="F111" t="str">
            <v>Dir 2</v>
          </cell>
          <cell r="G111">
            <v>0</v>
          </cell>
          <cell r="H111" t="str">
            <v>x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42491</v>
          </cell>
          <cell r="N111">
            <v>42521</v>
          </cell>
          <cell r="O111">
            <v>5</v>
          </cell>
          <cell r="P111" t="str">
            <v>x</v>
          </cell>
          <cell r="Q111" t="str">
            <v>kbO Stuttgarter Platz</v>
          </cell>
          <cell r="R111">
            <v>0</v>
          </cell>
        </row>
        <row r="112">
          <cell r="B112" t="str">
            <v>16-05-8314</v>
          </cell>
          <cell r="C112">
            <v>3</v>
          </cell>
          <cell r="D112" t="str">
            <v>CUG</v>
          </cell>
          <cell r="E112">
            <v>42489</v>
          </cell>
          <cell r="F112" t="str">
            <v>Dir 2</v>
          </cell>
          <cell r="G112">
            <v>0</v>
          </cell>
          <cell r="H112" t="str">
            <v>x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42491</v>
          </cell>
          <cell r="N112">
            <v>42521</v>
          </cell>
          <cell r="O112">
            <v>5</v>
          </cell>
          <cell r="P112" t="str">
            <v>x</v>
          </cell>
          <cell r="Q112" t="str">
            <v>Volkspark Wilmersdorf</v>
          </cell>
          <cell r="R112">
            <v>0</v>
          </cell>
        </row>
        <row r="113">
          <cell r="B113" t="str">
            <v>16-05-8315</v>
          </cell>
          <cell r="C113">
            <v>3</v>
          </cell>
          <cell r="D113" t="str">
            <v>CUG</v>
          </cell>
          <cell r="E113">
            <v>42489</v>
          </cell>
          <cell r="F113" t="str">
            <v>Dir 2</v>
          </cell>
          <cell r="G113">
            <v>0</v>
          </cell>
          <cell r="H113" t="str">
            <v>x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42491</v>
          </cell>
          <cell r="N113">
            <v>42521</v>
          </cell>
          <cell r="O113">
            <v>5</v>
          </cell>
          <cell r="P113" t="str">
            <v>x</v>
          </cell>
          <cell r="Q113" t="str">
            <v>Preußenpark</v>
          </cell>
          <cell r="R113">
            <v>0</v>
          </cell>
        </row>
        <row r="114">
          <cell r="B114" t="str">
            <v>16-05-8316</v>
          </cell>
          <cell r="C114">
            <v>3</v>
          </cell>
          <cell r="D114" t="str">
            <v>CUG</v>
          </cell>
          <cell r="E114">
            <v>42489</v>
          </cell>
          <cell r="F114" t="str">
            <v>Dir 2</v>
          </cell>
          <cell r="G114">
            <v>0</v>
          </cell>
          <cell r="H114" t="str">
            <v>x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42491</v>
          </cell>
          <cell r="N114">
            <v>42521</v>
          </cell>
          <cell r="O114">
            <v>5</v>
          </cell>
          <cell r="P114" t="str">
            <v>x</v>
          </cell>
          <cell r="Q114" t="str">
            <v>ZOB/ Kaiserdamm</v>
          </cell>
          <cell r="R114">
            <v>0</v>
          </cell>
        </row>
        <row r="115">
          <cell r="B115" t="str">
            <v>16-05-8317</v>
          </cell>
          <cell r="C115">
            <v>3</v>
          </cell>
          <cell r="D115" t="str">
            <v>CUG</v>
          </cell>
          <cell r="E115">
            <v>42489</v>
          </cell>
          <cell r="F115" t="str">
            <v>Dir 3</v>
          </cell>
          <cell r="G115">
            <v>0</v>
          </cell>
          <cell r="H115">
            <v>0</v>
          </cell>
          <cell r="I115" t="str">
            <v>x</v>
          </cell>
          <cell r="J115">
            <v>0</v>
          </cell>
          <cell r="K115">
            <v>0</v>
          </cell>
          <cell r="L115">
            <v>0</v>
          </cell>
          <cell r="M115">
            <v>42491</v>
          </cell>
          <cell r="N115">
            <v>42521</v>
          </cell>
          <cell r="O115">
            <v>5</v>
          </cell>
          <cell r="P115" t="str">
            <v>x</v>
          </cell>
          <cell r="Q115" t="str">
            <v>Brennpunkt A 36</v>
          </cell>
          <cell r="R115">
            <v>0</v>
          </cell>
        </row>
        <row r="116">
          <cell r="B116" t="str">
            <v>16-05-8318</v>
          </cell>
          <cell r="C116">
            <v>3</v>
          </cell>
          <cell r="D116" t="str">
            <v>CUG</v>
          </cell>
          <cell r="E116">
            <v>42489</v>
          </cell>
          <cell r="F116" t="str">
            <v>Dir 3</v>
          </cell>
          <cell r="G116">
            <v>0</v>
          </cell>
          <cell r="H116">
            <v>0</v>
          </cell>
          <cell r="I116" t="str">
            <v>x</v>
          </cell>
          <cell r="J116">
            <v>0</v>
          </cell>
          <cell r="K116">
            <v>0</v>
          </cell>
          <cell r="L116">
            <v>0</v>
          </cell>
          <cell r="M116">
            <v>42491</v>
          </cell>
          <cell r="N116">
            <v>42521</v>
          </cell>
          <cell r="O116">
            <v>5</v>
          </cell>
          <cell r="P116" t="str">
            <v>x</v>
          </cell>
          <cell r="Q116" t="str">
            <v>kbO Leopoldplatz</v>
          </cell>
          <cell r="R116">
            <v>0</v>
          </cell>
        </row>
        <row r="117">
          <cell r="B117" t="str">
            <v>16-05-8319</v>
          </cell>
          <cell r="C117">
            <v>3</v>
          </cell>
          <cell r="D117" t="str">
            <v>CUG</v>
          </cell>
          <cell r="E117">
            <v>42489</v>
          </cell>
          <cell r="F117" t="str">
            <v>Dir 3</v>
          </cell>
          <cell r="G117">
            <v>0</v>
          </cell>
          <cell r="H117">
            <v>0</v>
          </cell>
          <cell r="I117" t="str">
            <v>x</v>
          </cell>
          <cell r="J117">
            <v>0</v>
          </cell>
          <cell r="K117">
            <v>0</v>
          </cell>
          <cell r="L117">
            <v>0</v>
          </cell>
          <cell r="M117">
            <v>42491</v>
          </cell>
          <cell r="N117">
            <v>42521</v>
          </cell>
          <cell r="O117">
            <v>5</v>
          </cell>
          <cell r="P117" t="str">
            <v>x</v>
          </cell>
          <cell r="Q117" t="str">
            <v>kbO Tiergarten Süd</v>
          </cell>
          <cell r="R117">
            <v>0</v>
          </cell>
        </row>
        <row r="118">
          <cell r="B118" t="str">
            <v>16-05-8320</v>
          </cell>
          <cell r="C118">
            <v>3</v>
          </cell>
          <cell r="D118" t="str">
            <v>CUG</v>
          </cell>
          <cell r="E118">
            <v>42489</v>
          </cell>
          <cell r="F118" t="str">
            <v>Dir 3</v>
          </cell>
          <cell r="G118">
            <v>0</v>
          </cell>
          <cell r="H118">
            <v>0</v>
          </cell>
          <cell r="I118" t="str">
            <v>x</v>
          </cell>
          <cell r="J118">
            <v>0</v>
          </cell>
          <cell r="K118">
            <v>0</v>
          </cell>
          <cell r="L118">
            <v>0</v>
          </cell>
          <cell r="M118">
            <v>42491</v>
          </cell>
          <cell r="N118">
            <v>42521</v>
          </cell>
          <cell r="O118">
            <v>5</v>
          </cell>
          <cell r="P118" t="str">
            <v>x</v>
          </cell>
          <cell r="Q118" t="str">
            <v>Spendensammelbetrug</v>
          </cell>
          <cell r="R118">
            <v>0</v>
          </cell>
        </row>
        <row r="119">
          <cell r="B119" t="str">
            <v>16-05-8321</v>
          </cell>
          <cell r="C119">
            <v>3</v>
          </cell>
          <cell r="D119" t="str">
            <v>CUG</v>
          </cell>
          <cell r="E119">
            <v>42489</v>
          </cell>
          <cell r="F119" t="str">
            <v>Dir 4</v>
          </cell>
          <cell r="G119">
            <v>0</v>
          </cell>
          <cell r="H119">
            <v>0</v>
          </cell>
          <cell r="I119">
            <v>0</v>
          </cell>
          <cell r="J119" t="str">
            <v>x</v>
          </cell>
          <cell r="K119">
            <v>0</v>
          </cell>
          <cell r="L119">
            <v>0</v>
          </cell>
          <cell r="M119">
            <v>42491</v>
          </cell>
          <cell r="N119">
            <v>42521</v>
          </cell>
          <cell r="O119">
            <v>5</v>
          </cell>
          <cell r="P119" t="str">
            <v>x</v>
          </cell>
          <cell r="Q119" t="str">
            <v>Wohnraumeinbruch A 47</v>
          </cell>
          <cell r="R119">
            <v>0</v>
          </cell>
        </row>
        <row r="120">
          <cell r="B120" t="str">
            <v>16-05-8322</v>
          </cell>
          <cell r="C120">
            <v>3</v>
          </cell>
          <cell r="D120" t="str">
            <v>CUG</v>
          </cell>
          <cell r="E120">
            <v>42489</v>
          </cell>
          <cell r="F120" t="str">
            <v>Dir 4</v>
          </cell>
          <cell r="G120">
            <v>0</v>
          </cell>
          <cell r="H120">
            <v>0</v>
          </cell>
          <cell r="I120">
            <v>0</v>
          </cell>
          <cell r="J120" t="str">
            <v>x</v>
          </cell>
          <cell r="K120">
            <v>0</v>
          </cell>
          <cell r="L120">
            <v>0</v>
          </cell>
          <cell r="M120">
            <v>42491</v>
          </cell>
          <cell r="N120">
            <v>42521</v>
          </cell>
          <cell r="O120">
            <v>5</v>
          </cell>
          <cell r="P120" t="str">
            <v>x</v>
          </cell>
          <cell r="Q120" t="str">
            <v>Schlachtensee/Krumme Lanke</v>
          </cell>
          <cell r="R120">
            <v>0</v>
          </cell>
        </row>
        <row r="121">
          <cell r="B121" t="str">
            <v>16-05-8423</v>
          </cell>
          <cell r="C121">
            <v>4</v>
          </cell>
          <cell r="D121" t="str">
            <v>CUG</v>
          </cell>
          <cell r="E121">
            <v>42489</v>
          </cell>
          <cell r="F121" t="str">
            <v>LKA St 12</v>
          </cell>
          <cell r="G121">
            <v>0</v>
          </cell>
          <cell r="H121">
            <v>0</v>
          </cell>
          <cell r="I121" t="str">
            <v>x</v>
          </cell>
          <cell r="J121">
            <v>0</v>
          </cell>
          <cell r="K121">
            <v>0</v>
          </cell>
          <cell r="L121">
            <v>0</v>
          </cell>
          <cell r="M121">
            <v>42491</v>
          </cell>
          <cell r="N121">
            <v>42521</v>
          </cell>
          <cell r="O121">
            <v>5</v>
          </cell>
          <cell r="P121">
            <v>0</v>
          </cell>
          <cell r="Q121" t="str">
            <v>Taschendiebstahl Dir 3</v>
          </cell>
          <cell r="R121" t="str">
            <v>Schirmkonzeption</v>
          </cell>
        </row>
        <row r="122">
          <cell r="B122" t="str">
            <v>16-05-8424</v>
          </cell>
          <cell r="C122">
            <v>4</v>
          </cell>
          <cell r="D122" t="str">
            <v>CUG</v>
          </cell>
          <cell r="E122">
            <v>42489</v>
          </cell>
          <cell r="F122" t="str">
            <v>LKA St 12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 t="str">
            <v>x</v>
          </cell>
          <cell r="M122">
            <v>42491</v>
          </cell>
          <cell r="N122">
            <v>42521</v>
          </cell>
          <cell r="O122">
            <v>5</v>
          </cell>
          <cell r="P122">
            <v>0</v>
          </cell>
          <cell r="Q122" t="str">
            <v>Fahrraddiebstahl A 65</v>
          </cell>
          <cell r="R122" t="str">
            <v>Schirmkonzeption</v>
          </cell>
        </row>
        <row r="123">
          <cell r="B123" t="str">
            <v>16-05-8425</v>
          </cell>
          <cell r="C123">
            <v>4</v>
          </cell>
          <cell r="D123" t="str">
            <v>CUG</v>
          </cell>
          <cell r="E123">
            <v>42489</v>
          </cell>
          <cell r="F123" t="str">
            <v>LKA St 12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x</v>
          </cell>
          <cell r="L123">
            <v>0</v>
          </cell>
          <cell r="M123">
            <v>42491</v>
          </cell>
          <cell r="N123">
            <v>42521</v>
          </cell>
          <cell r="O123">
            <v>5</v>
          </cell>
          <cell r="P123">
            <v>0</v>
          </cell>
          <cell r="Q123" t="str">
            <v>Kellereinbruch A 54</v>
          </cell>
          <cell r="R123" t="str">
            <v>Schirmkonzeption</v>
          </cell>
        </row>
        <row r="124">
          <cell r="B124" t="str">
            <v>16-05-8426</v>
          </cell>
          <cell r="C124">
            <v>4</v>
          </cell>
          <cell r="D124" t="str">
            <v>CUG</v>
          </cell>
          <cell r="E124">
            <v>42489</v>
          </cell>
          <cell r="F124" t="str">
            <v>Dir 1</v>
          </cell>
          <cell r="G124" t="str">
            <v>x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42491</v>
          </cell>
          <cell r="N124">
            <v>42521</v>
          </cell>
          <cell r="O124">
            <v>5</v>
          </cell>
          <cell r="P124" t="str">
            <v>x</v>
          </cell>
          <cell r="Q124" t="str">
            <v>illeg. Zigarettenhandel</v>
          </cell>
          <cell r="R124">
            <v>0</v>
          </cell>
        </row>
        <row r="125">
          <cell r="B125" t="str">
            <v>16-05-8427</v>
          </cell>
          <cell r="C125">
            <v>4</v>
          </cell>
          <cell r="D125" t="str">
            <v>CUG</v>
          </cell>
          <cell r="E125">
            <v>42489</v>
          </cell>
          <cell r="F125" t="str">
            <v>Dir 2</v>
          </cell>
          <cell r="G125">
            <v>0</v>
          </cell>
          <cell r="H125" t="str">
            <v>x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42491</v>
          </cell>
          <cell r="N125">
            <v>42521</v>
          </cell>
          <cell r="O125">
            <v>5</v>
          </cell>
          <cell r="P125" t="str">
            <v>x</v>
          </cell>
          <cell r="Q125" t="str">
            <v>kbO Stuttgarter Platz</v>
          </cell>
          <cell r="R125">
            <v>0</v>
          </cell>
        </row>
        <row r="126">
          <cell r="B126" t="str">
            <v>16-05-8428</v>
          </cell>
          <cell r="C126">
            <v>4</v>
          </cell>
          <cell r="D126" t="str">
            <v>CUG</v>
          </cell>
          <cell r="E126">
            <v>42489</v>
          </cell>
          <cell r="F126" t="str">
            <v>Dir 2</v>
          </cell>
          <cell r="G126">
            <v>0</v>
          </cell>
          <cell r="H126" t="str">
            <v>x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42491</v>
          </cell>
          <cell r="N126">
            <v>42521</v>
          </cell>
          <cell r="O126">
            <v>5</v>
          </cell>
          <cell r="P126" t="str">
            <v>x</v>
          </cell>
          <cell r="Q126" t="str">
            <v>U-Bhf. Bismarckstr.</v>
          </cell>
          <cell r="R126">
            <v>0</v>
          </cell>
        </row>
        <row r="127">
          <cell r="B127" t="str">
            <v>16-05-8429</v>
          </cell>
          <cell r="C127">
            <v>4</v>
          </cell>
          <cell r="D127" t="str">
            <v>CUG</v>
          </cell>
          <cell r="E127">
            <v>42489</v>
          </cell>
          <cell r="F127" t="str">
            <v>Dir 2</v>
          </cell>
          <cell r="G127">
            <v>0</v>
          </cell>
          <cell r="H127" t="str">
            <v>x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42491</v>
          </cell>
          <cell r="N127">
            <v>42521</v>
          </cell>
          <cell r="O127">
            <v>5</v>
          </cell>
          <cell r="P127" t="str">
            <v>x</v>
          </cell>
          <cell r="Q127" t="str">
            <v>Adenauerplatz</v>
          </cell>
          <cell r="R127">
            <v>0</v>
          </cell>
        </row>
        <row r="128">
          <cell r="B128" t="str">
            <v>16-05-8430</v>
          </cell>
          <cell r="C128">
            <v>4</v>
          </cell>
          <cell r="D128" t="str">
            <v>CUG</v>
          </cell>
          <cell r="E128">
            <v>42489</v>
          </cell>
          <cell r="F128" t="str">
            <v>Dir 2</v>
          </cell>
          <cell r="G128">
            <v>0</v>
          </cell>
          <cell r="H128" t="str">
            <v>x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42491</v>
          </cell>
          <cell r="N128">
            <v>42521</v>
          </cell>
          <cell r="O128">
            <v>5</v>
          </cell>
          <cell r="P128" t="str">
            <v>x</v>
          </cell>
          <cell r="Q128" t="str">
            <v>Volkspark Wilmersdorf</v>
          </cell>
          <cell r="R128">
            <v>0</v>
          </cell>
        </row>
        <row r="129">
          <cell r="B129" t="str">
            <v>16-05-8431</v>
          </cell>
          <cell r="C129">
            <v>4</v>
          </cell>
          <cell r="D129" t="str">
            <v>CUG</v>
          </cell>
          <cell r="E129">
            <v>42489</v>
          </cell>
          <cell r="F129" t="str">
            <v>Dir 2</v>
          </cell>
          <cell r="G129">
            <v>0</v>
          </cell>
          <cell r="H129" t="str">
            <v>x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42491</v>
          </cell>
          <cell r="N129">
            <v>42521</v>
          </cell>
          <cell r="O129">
            <v>5</v>
          </cell>
          <cell r="P129" t="str">
            <v>x</v>
          </cell>
          <cell r="Q129" t="str">
            <v>Preußenpark</v>
          </cell>
          <cell r="R129">
            <v>0</v>
          </cell>
        </row>
        <row r="130">
          <cell r="B130" t="str">
            <v>16-05-8432</v>
          </cell>
          <cell r="C130">
            <v>4</v>
          </cell>
          <cell r="D130" t="str">
            <v>CUG</v>
          </cell>
          <cell r="E130">
            <v>42489</v>
          </cell>
          <cell r="F130" t="str">
            <v>Dir 2</v>
          </cell>
          <cell r="G130">
            <v>0</v>
          </cell>
          <cell r="H130" t="str">
            <v>x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42491</v>
          </cell>
          <cell r="N130">
            <v>42521</v>
          </cell>
          <cell r="O130">
            <v>5</v>
          </cell>
          <cell r="P130" t="str">
            <v>x</v>
          </cell>
          <cell r="Q130" t="str">
            <v>ZOB/ Kaiserdamm</v>
          </cell>
          <cell r="R130">
            <v>0</v>
          </cell>
        </row>
        <row r="131">
          <cell r="B131" t="str">
            <v>16-05-8433</v>
          </cell>
          <cell r="C131">
            <v>4</v>
          </cell>
          <cell r="D131" t="str">
            <v>CUG</v>
          </cell>
          <cell r="E131">
            <v>42489</v>
          </cell>
          <cell r="F131" t="str">
            <v>Dir 2</v>
          </cell>
          <cell r="G131">
            <v>0</v>
          </cell>
          <cell r="H131" t="str">
            <v>x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42491</v>
          </cell>
          <cell r="N131">
            <v>42521</v>
          </cell>
          <cell r="O131">
            <v>5</v>
          </cell>
          <cell r="P131" t="str">
            <v>x</v>
          </cell>
          <cell r="Q131" t="str">
            <v>Altstadt Spandau</v>
          </cell>
          <cell r="R131">
            <v>0</v>
          </cell>
        </row>
        <row r="132">
          <cell r="B132" t="str">
            <v>16-05-8434</v>
          </cell>
          <cell r="C132">
            <v>4</v>
          </cell>
          <cell r="D132" t="str">
            <v>CUG</v>
          </cell>
          <cell r="E132">
            <v>42489</v>
          </cell>
          <cell r="F132" t="str">
            <v>Dir 2</v>
          </cell>
          <cell r="G132">
            <v>0</v>
          </cell>
          <cell r="H132">
            <v>0</v>
          </cell>
          <cell r="I132" t="str">
            <v>x</v>
          </cell>
          <cell r="J132">
            <v>0</v>
          </cell>
          <cell r="K132">
            <v>0</v>
          </cell>
          <cell r="L132">
            <v>0</v>
          </cell>
          <cell r="M132">
            <v>42491</v>
          </cell>
          <cell r="N132">
            <v>42521</v>
          </cell>
          <cell r="O132">
            <v>5</v>
          </cell>
          <cell r="P132" t="str">
            <v>x</v>
          </cell>
          <cell r="Q132" t="str">
            <v>Hütchenspiel</v>
          </cell>
          <cell r="R132" t="str">
            <v>direktionsübergreifend (2, 3)</v>
          </cell>
        </row>
        <row r="133">
          <cell r="B133" t="str">
            <v>16-05-8435</v>
          </cell>
          <cell r="C133">
            <v>4</v>
          </cell>
          <cell r="D133" t="str">
            <v>CUG</v>
          </cell>
          <cell r="E133">
            <v>42489</v>
          </cell>
          <cell r="F133" t="str">
            <v>Dir 3</v>
          </cell>
          <cell r="G133">
            <v>0</v>
          </cell>
          <cell r="H133">
            <v>0</v>
          </cell>
          <cell r="I133" t="str">
            <v>x</v>
          </cell>
          <cell r="J133">
            <v>0</v>
          </cell>
          <cell r="K133">
            <v>0</v>
          </cell>
          <cell r="L133">
            <v>0</v>
          </cell>
          <cell r="M133">
            <v>42491</v>
          </cell>
          <cell r="N133">
            <v>42521</v>
          </cell>
          <cell r="O133">
            <v>5</v>
          </cell>
          <cell r="P133" t="str">
            <v>x</v>
          </cell>
          <cell r="Q133" t="str">
            <v>kbO Leopoldplatz</v>
          </cell>
          <cell r="R133">
            <v>0</v>
          </cell>
        </row>
        <row r="134">
          <cell r="B134" t="str">
            <v>16-05-8436</v>
          </cell>
          <cell r="C134">
            <v>4</v>
          </cell>
          <cell r="D134" t="str">
            <v>CUG</v>
          </cell>
          <cell r="E134">
            <v>42489</v>
          </cell>
          <cell r="F134" t="str">
            <v>Dir 3</v>
          </cell>
          <cell r="G134">
            <v>0</v>
          </cell>
          <cell r="H134">
            <v>0</v>
          </cell>
          <cell r="I134" t="str">
            <v>x</v>
          </cell>
          <cell r="J134">
            <v>0</v>
          </cell>
          <cell r="K134">
            <v>0</v>
          </cell>
          <cell r="L134">
            <v>0</v>
          </cell>
          <cell r="M134">
            <v>42491</v>
          </cell>
          <cell r="N134">
            <v>42521</v>
          </cell>
          <cell r="O134">
            <v>5</v>
          </cell>
          <cell r="P134" t="str">
            <v>x</v>
          </cell>
          <cell r="Q134" t="str">
            <v>kbO Tiergarten Süd</v>
          </cell>
          <cell r="R134">
            <v>0</v>
          </cell>
        </row>
        <row r="135">
          <cell r="B135" t="str">
            <v>16-05-8437</v>
          </cell>
          <cell r="C135">
            <v>4</v>
          </cell>
          <cell r="D135" t="str">
            <v>CUG</v>
          </cell>
          <cell r="E135">
            <v>42489</v>
          </cell>
          <cell r="F135" t="str">
            <v>Dir 4</v>
          </cell>
          <cell r="G135">
            <v>0</v>
          </cell>
          <cell r="H135">
            <v>0</v>
          </cell>
          <cell r="I135">
            <v>0</v>
          </cell>
          <cell r="J135" t="str">
            <v>x</v>
          </cell>
          <cell r="K135">
            <v>0</v>
          </cell>
          <cell r="L135">
            <v>0</v>
          </cell>
          <cell r="M135">
            <v>42491</v>
          </cell>
          <cell r="N135">
            <v>42521</v>
          </cell>
          <cell r="O135">
            <v>5</v>
          </cell>
          <cell r="P135" t="str">
            <v>x</v>
          </cell>
          <cell r="Q135" t="str">
            <v>kbO Schöneberg Nord</v>
          </cell>
          <cell r="R135">
            <v>0</v>
          </cell>
        </row>
        <row r="136">
          <cell r="B136" t="str">
            <v>16-05-8438</v>
          </cell>
          <cell r="C136">
            <v>4</v>
          </cell>
          <cell r="D136" t="str">
            <v>CUG</v>
          </cell>
          <cell r="E136">
            <v>42489</v>
          </cell>
          <cell r="F136" t="str">
            <v>Dir 4</v>
          </cell>
          <cell r="G136">
            <v>0</v>
          </cell>
          <cell r="H136">
            <v>0</v>
          </cell>
          <cell r="I136">
            <v>0</v>
          </cell>
          <cell r="J136" t="str">
            <v>x</v>
          </cell>
          <cell r="K136">
            <v>0</v>
          </cell>
          <cell r="L136">
            <v>0</v>
          </cell>
          <cell r="M136">
            <v>42491</v>
          </cell>
          <cell r="N136">
            <v>42521</v>
          </cell>
          <cell r="O136">
            <v>5</v>
          </cell>
          <cell r="P136" t="str">
            <v>x</v>
          </cell>
          <cell r="Q136" t="str">
            <v>Schlachtensee/Krumme Lanke</v>
          </cell>
          <cell r="R136">
            <v>0</v>
          </cell>
        </row>
        <row r="137">
          <cell r="B137" t="str">
            <v>16-05-8439</v>
          </cell>
          <cell r="C137">
            <v>4</v>
          </cell>
          <cell r="D137" t="str">
            <v>CUG</v>
          </cell>
          <cell r="E137">
            <v>42489</v>
          </cell>
          <cell r="F137" t="str">
            <v>Dir 4</v>
          </cell>
          <cell r="G137">
            <v>0</v>
          </cell>
          <cell r="H137">
            <v>0</v>
          </cell>
          <cell r="I137">
            <v>0</v>
          </cell>
          <cell r="J137" t="str">
            <v>x</v>
          </cell>
          <cell r="K137">
            <v>0</v>
          </cell>
          <cell r="L137">
            <v>0</v>
          </cell>
          <cell r="M137">
            <v>42491</v>
          </cell>
          <cell r="N137">
            <v>42521</v>
          </cell>
          <cell r="O137">
            <v>5</v>
          </cell>
          <cell r="P137" t="str">
            <v>x</v>
          </cell>
          <cell r="Q137" t="str">
            <v>Wohnraumeinbruch A 47</v>
          </cell>
          <cell r="R137">
            <v>0</v>
          </cell>
        </row>
        <row r="138">
          <cell r="B138" t="str">
            <v>16-05-8440</v>
          </cell>
          <cell r="C138">
            <v>4</v>
          </cell>
          <cell r="D138" t="str">
            <v>CUG</v>
          </cell>
          <cell r="E138">
            <v>42489</v>
          </cell>
          <cell r="F138" t="str">
            <v>Dir 6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 t="str">
            <v>x</v>
          </cell>
          <cell r="M138">
            <v>42491</v>
          </cell>
          <cell r="N138">
            <v>42521</v>
          </cell>
          <cell r="O138">
            <v>5</v>
          </cell>
          <cell r="P138" t="str">
            <v>x</v>
          </cell>
          <cell r="Q138" t="str">
            <v>Wohnraumeinbruch</v>
          </cell>
          <cell r="R138">
            <v>0</v>
          </cell>
        </row>
        <row r="139">
          <cell r="B139" t="str">
            <v>16-05-8441</v>
          </cell>
          <cell r="C139">
            <v>4</v>
          </cell>
          <cell r="D139" t="str">
            <v>CUG</v>
          </cell>
          <cell r="E139">
            <v>42489</v>
          </cell>
          <cell r="F139" t="str">
            <v>Dir 6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 t="str">
            <v>x</v>
          </cell>
          <cell r="M139">
            <v>42491</v>
          </cell>
          <cell r="N139">
            <v>42521</v>
          </cell>
          <cell r="O139">
            <v>5</v>
          </cell>
          <cell r="P139" t="str">
            <v>x</v>
          </cell>
          <cell r="Q139" t="str">
            <v>KfZ - Diebstahl</v>
          </cell>
          <cell r="R139">
            <v>0</v>
          </cell>
        </row>
        <row r="140">
          <cell r="B140" t="str">
            <v>16-06-8201</v>
          </cell>
          <cell r="C140">
            <v>2</v>
          </cell>
          <cell r="D140" t="str">
            <v>CUG</v>
          </cell>
          <cell r="E140">
            <v>42521</v>
          </cell>
          <cell r="F140" t="str">
            <v>Dir 5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x</v>
          </cell>
          <cell r="L140">
            <v>0</v>
          </cell>
          <cell r="M140">
            <v>42522</v>
          </cell>
          <cell r="N140">
            <v>42551</v>
          </cell>
          <cell r="O140">
            <v>6</v>
          </cell>
          <cell r="P140">
            <v>0</v>
          </cell>
          <cell r="Q140" t="str">
            <v>kbO Warschauer Brücke - Kottbusser Tor</v>
          </cell>
          <cell r="R140">
            <v>0</v>
          </cell>
        </row>
        <row r="141">
          <cell r="B141" t="str">
            <v>16-06-8202</v>
          </cell>
          <cell r="C141">
            <v>2</v>
          </cell>
          <cell r="D141" t="str">
            <v>CUG</v>
          </cell>
          <cell r="E141">
            <v>42521</v>
          </cell>
          <cell r="F141" t="str">
            <v>Dir 5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x</v>
          </cell>
          <cell r="L141">
            <v>0</v>
          </cell>
          <cell r="M141">
            <v>42522</v>
          </cell>
          <cell r="N141">
            <v>42551</v>
          </cell>
          <cell r="O141">
            <v>6</v>
          </cell>
          <cell r="P141">
            <v>0</v>
          </cell>
          <cell r="Q141" t="str">
            <v>kbO Rigaer Str.</v>
          </cell>
          <cell r="R141">
            <v>0</v>
          </cell>
        </row>
        <row r="142">
          <cell r="B142" t="str">
            <v>16-06-8203</v>
          </cell>
          <cell r="C142">
            <v>2</v>
          </cell>
          <cell r="D142" t="str">
            <v>CUG</v>
          </cell>
          <cell r="E142">
            <v>42521</v>
          </cell>
          <cell r="F142" t="str">
            <v>LKA 33</v>
          </cell>
          <cell r="G142" t="str">
            <v>x</v>
          </cell>
          <cell r="H142" t="str">
            <v>x</v>
          </cell>
          <cell r="I142" t="str">
            <v>x</v>
          </cell>
          <cell r="J142" t="str">
            <v>x</v>
          </cell>
          <cell r="K142" t="str">
            <v>x</v>
          </cell>
          <cell r="L142" t="str">
            <v>x</v>
          </cell>
          <cell r="M142">
            <v>42522</v>
          </cell>
          <cell r="N142">
            <v>42551</v>
          </cell>
          <cell r="O142">
            <v>6</v>
          </cell>
          <cell r="P142">
            <v>0</v>
          </cell>
          <cell r="Q142" t="str">
            <v>Glücksspiel</v>
          </cell>
          <cell r="R142" t="str">
            <v>direktionsübergreifend (1 - 6)</v>
          </cell>
        </row>
        <row r="143">
          <cell r="B143" t="str">
            <v>16-06-8204</v>
          </cell>
          <cell r="C143">
            <v>2</v>
          </cell>
          <cell r="D143" t="str">
            <v>CUG</v>
          </cell>
          <cell r="E143">
            <v>42521</v>
          </cell>
          <cell r="F143" t="str">
            <v>Dir 2</v>
          </cell>
          <cell r="G143">
            <v>0</v>
          </cell>
          <cell r="H143" t="str">
            <v>x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42522</v>
          </cell>
          <cell r="N143">
            <v>42551</v>
          </cell>
          <cell r="O143">
            <v>6</v>
          </cell>
          <cell r="P143">
            <v>0</v>
          </cell>
          <cell r="Q143" t="str">
            <v>Focus City West</v>
          </cell>
          <cell r="R143">
            <v>0</v>
          </cell>
        </row>
        <row r="144">
          <cell r="B144" t="str">
            <v>16-06-8205</v>
          </cell>
          <cell r="C144">
            <v>2</v>
          </cell>
          <cell r="D144" t="str">
            <v>CUG</v>
          </cell>
          <cell r="E144">
            <v>42521</v>
          </cell>
          <cell r="F144" t="str">
            <v>Dir 2</v>
          </cell>
          <cell r="G144">
            <v>0</v>
          </cell>
          <cell r="H144" t="str">
            <v>x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42522</v>
          </cell>
          <cell r="N144">
            <v>42551</v>
          </cell>
          <cell r="O144">
            <v>6</v>
          </cell>
          <cell r="P144">
            <v>0</v>
          </cell>
          <cell r="Q144" t="str">
            <v>Hütchenspiel</v>
          </cell>
          <cell r="R144" t="str">
            <v>direktionsübergreifend (2, 3)</v>
          </cell>
        </row>
        <row r="145">
          <cell r="B145" t="str">
            <v>16-06-8206</v>
          </cell>
          <cell r="C145">
            <v>2</v>
          </cell>
          <cell r="D145" t="str">
            <v>CUG</v>
          </cell>
          <cell r="E145">
            <v>42521</v>
          </cell>
          <cell r="F145" t="str">
            <v>Dir 3</v>
          </cell>
          <cell r="G145">
            <v>0</v>
          </cell>
          <cell r="H145">
            <v>0</v>
          </cell>
          <cell r="I145" t="str">
            <v>x</v>
          </cell>
          <cell r="J145">
            <v>0</v>
          </cell>
          <cell r="K145">
            <v>0</v>
          </cell>
          <cell r="L145">
            <v>0</v>
          </cell>
          <cell r="M145">
            <v>42522</v>
          </cell>
          <cell r="N145">
            <v>42551</v>
          </cell>
          <cell r="O145">
            <v>6</v>
          </cell>
          <cell r="P145">
            <v>0</v>
          </cell>
          <cell r="Q145" t="str">
            <v>Sichere Mitte</v>
          </cell>
          <cell r="R145">
            <v>0</v>
          </cell>
        </row>
        <row r="146">
          <cell r="B146" t="str">
            <v>16-06-8207</v>
          </cell>
          <cell r="C146">
            <v>2</v>
          </cell>
          <cell r="D146" t="str">
            <v>CUG</v>
          </cell>
          <cell r="E146">
            <v>42521</v>
          </cell>
          <cell r="F146" t="str">
            <v>Dir 3</v>
          </cell>
          <cell r="G146">
            <v>0</v>
          </cell>
          <cell r="H146">
            <v>0</v>
          </cell>
          <cell r="I146" t="str">
            <v>x</v>
          </cell>
          <cell r="J146">
            <v>0</v>
          </cell>
          <cell r="K146">
            <v>0</v>
          </cell>
          <cell r="L146">
            <v>0</v>
          </cell>
          <cell r="M146">
            <v>42522</v>
          </cell>
          <cell r="N146">
            <v>42551</v>
          </cell>
          <cell r="O146">
            <v>6</v>
          </cell>
          <cell r="P146">
            <v>0</v>
          </cell>
          <cell r="Q146" t="str">
            <v>Kleiner Tiergarten</v>
          </cell>
          <cell r="R146">
            <v>0</v>
          </cell>
        </row>
        <row r="147">
          <cell r="B147" t="str">
            <v>16-06-8208</v>
          </cell>
          <cell r="C147">
            <v>2</v>
          </cell>
          <cell r="D147" t="str">
            <v>CUG</v>
          </cell>
          <cell r="E147">
            <v>42521</v>
          </cell>
          <cell r="F147" t="str">
            <v>Dir 5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x</v>
          </cell>
          <cell r="L147">
            <v>0</v>
          </cell>
          <cell r="M147">
            <v>42522</v>
          </cell>
          <cell r="N147">
            <v>42551</v>
          </cell>
          <cell r="O147">
            <v>6</v>
          </cell>
          <cell r="P147">
            <v>0</v>
          </cell>
          <cell r="Q147" t="str">
            <v>kbO Kottbusser Tor</v>
          </cell>
          <cell r="R147">
            <v>0</v>
          </cell>
        </row>
        <row r="148">
          <cell r="B148" t="str">
            <v>16-06-8209</v>
          </cell>
          <cell r="C148">
            <v>2</v>
          </cell>
          <cell r="D148" t="str">
            <v>CUG</v>
          </cell>
          <cell r="E148">
            <v>42521</v>
          </cell>
          <cell r="F148" t="str">
            <v>Dir 5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x</v>
          </cell>
          <cell r="L148">
            <v>0</v>
          </cell>
          <cell r="M148">
            <v>42522</v>
          </cell>
          <cell r="N148">
            <v>42551</v>
          </cell>
          <cell r="O148">
            <v>6</v>
          </cell>
          <cell r="P148">
            <v>0</v>
          </cell>
          <cell r="Q148" t="str">
            <v>kbO Warschauer Brücke</v>
          </cell>
          <cell r="R148">
            <v>0</v>
          </cell>
        </row>
        <row r="149">
          <cell r="B149" t="str">
            <v>16-06-8210</v>
          </cell>
          <cell r="C149">
            <v>2</v>
          </cell>
          <cell r="D149" t="str">
            <v>CUG</v>
          </cell>
          <cell r="E149">
            <v>42521</v>
          </cell>
          <cell r="F149" t="str">
            <v>Dir 5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x</v>
          </cell>
          <cell r="L149">
            <v>0</v>
          </cell>
          <cell r="M149">
            <v>42522</v>
          </cell>
          <cell r="N149">
            <v>42551</v>
          </cell>
          <cell r="O149">
            <v>6</v>
          </cell>
          <cell r="P149">
            <v>0</v>
          </cell>
          <cell r="Q149" t="str">
            <v>kbO Görlitzer Park</v>
          </cell>
          <cell r="R149">
            <v>0</v>
          </cell>
        </row>
        <row r="150">
          <cell r="B150" t="str">
            <v>16-06-8311</v>
          </cell>
          <cell r="C150">
            <v>3</v>
          </cell>
          <cell r="D150" t="str">
            <v>CUG</v>
          </cell>
          <cell r="E150">
            <v>42521</v>
          </cell>
          <cell r="F150" t="str">
            <v>Dir 1</v>
          </cell>
          <cell r="G150" t="str">
            <v>x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42522</v>
          </cell>
          <cell r="N150">
            <v>42551</v>
          </cell>
          <cell r="O150">
            <v>6</v>
          </cell>
          <cell r="P150" t="str">
            <v>x</v>
          </cell>
          <cell r="Q150" t="str">
            <v>Mauerpark</v>
          </cell>
          <cell r="R150">
            <v>0</v>
          </cell>
        </row>
        <row r="151">
          <cell r="B151" t="str">
            <v>16-06-8312</v>
          </cell>
          <cell r="C151">
            <v>3</v>
          </cell>
          <cell r="D151" t="str">
            <v>CUG</v>
          </cell>
          <cell r="E151">
            <v>42521</v>
          </cell>
          <cell r="F151" t="str">
            <v>Dir 2</v>
          </cell>
          <cell r="G151">
            <v>0</v>
          </cell>
          <cell r="H151" t="str">
            <v>x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42522</v>
          </cell>
          <cell r="N151">
            <v>42551</v>
          </cell>
          <cell r="O151">
            <v>6</v>
          </cell>
          <cell r="P151" t="str">
            <v>x</v>
          </cell>
          <cell r="Q151" t="str">
            <v>kbO Stuttgarter Platz</v>
          </cell>
          <cell r="R151">
            <v>0</v>
          </cell>
        </row>
        <row r="152">
          <cell r="B152" t="str">
            <v>16-06-8313</v>
          </cell>
          <cell r="C152">
            <v>3</v>
          </cell>
          <cell r="D152" t="str">
            <v>CUG</v>
          </cell>
          <cell r="E152">
            <v>42521</v>
          </cell>
          <cell r="F152" t="str">
            <v>Dir 2</v>
          </cell>
          <cell r="G152">
            <v>0</v>
          </cell>
          <cell r="H152" t="str">
            <v>x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42522</v>
          </cell>
          <cell r="N152">
            <v>42551</v>
          </cell>
          <cell r="O152">
            <v>6</v>
          </cell>
          <cell r="P152" t="str">
            <v>x</v>
          </cell>
          <cell r="Q152" t="str">
            <v>ZOB/ Kaiserdamm</v>
          </cell>
          <cell r="R152">
            <v>0</v>
          </cell>
        </row>
        <row r="153">
          <cell r="B153" t="str">
            <v>16-06-8314</v>
          </cell>
          <cell r="C153">
            <v>3</v>
          </cell>
          <cell r="D153" t="str">
            <v>CUG</v>
          </cell>
          <cell r="E153">
            <v>42521</v>
          </cell>
          <cell r="F153" t="str">
            <v>Dir 2</v>
          </cell>
          <cell r="G153">
            <v>0</v>
          </cell>
          <cell r="H153" t="str">
            <v>x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42522</v>
          </cell>
          <cell r="N153">
            <v>42551</v>
          </cell>
          <cell r="O153">
            <v>6</v>
          </cell>
          <cell r="P153" t="str">
            <v>x</v>
          </cell>
          <cell r="Q153" t="str">
            <v>Volkspark Wilmersdorf</v>
          </cell>
          <cell r="R153">
            <v>0</v>
          </cell>
        </row>
        <row r="154">
          <cell r="B154" t="str">
            <v>16-06-8315</v>
          </cell>
          <cell r="C154">
            <v>3</v>
          </cell>
          <cell r="D154" t="str">
            <v>CUG</v>
          </cell>
          <cell r="E154">
            <v>42521</v>
          </cell>
          <cell r="F154" t="str">
            <v>LKA St 12</v>
          </cell>
          <cell r="G154">
            <v>0</v>
          </cell>
          <cell r="H154" t="str">
            <v>x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42522</v>
          </cell>
          <cell r="N154">
            <v>42551</v>
          </cell>
          <cell r="O154">
            <v>6</v>
          </cell>
          <cell r="P154">
            <v>0</v>
          </cell>
          <cell r="Q154" t="str">
            <v>Fahrraddiebstahl A 26</v>
          </cell>
          <cell r="R154" t="str">
            <v>Schirmkonzeption</v>
          </cell>
        </row>
        <row r="155">
          <cell r="B155" t="str">
            <v>16-06-8316</v>
          </cell>
          <cell r="C155">
            <v>3</v>
          </cell>
          <cell r="D155" t="str">
            <v>CUG</v>
          </cell>
          <cell r="E155">
            <v>42521</v>
          </cell>
          <cell r="F155" t="str">
            <v>LKA St 12</v>
          </cell>
          <cell r="G155">
            <v>0</v>
          </cell>
          <cell r="H155" t="str">
            <v>x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42522</v>
          </cell>
          <cell r="N155">
            <v>42551</v>
          </cell>
          <cell r="O155">
            <v>6</v>
          </cell>
          <cell r="P155">
            <v>0</v>
          </cell>
          <cell r="Q155" t="str">
            <v>Taschendiebstahl A 25</v>
          </cell>
          <cell r="R155" t="str">
            <v>Schirmkonzeption</v>
          </cell>
        </row>
        <row r="156">
          <cell r="B156" t="str">
            <v>16-06-8317</v>
          </cell>
          <cell r="C156">
            <v>3</v>
          </cell>
          <cell r="D156" t="str">
            <v>CUG</v>
          </cell>
          <cell r="E156">
            <v>42521</v>
          </cell>
          <cell r="F156" t="str">
            <v>Dir 3</v>
          </cell>
          <cell r="G156">
            <v>0</v>
          </cell>
          <cell r="H156">
            <v>0</v>
          </cell>
          <cell r="I156" t="str">
            <v>x</v>
          </cell>
          <cell r="J156">
            <v>0</v>
          </cell>
          <cell r="K156">
            <v>0</v>
          </cell>
          <cell r="L156">
            <v>0</v>
          </cell>
          <cell r="M156">
            <v>42522</v>
          </cell>
          <cell r="N156">
            <v>42551</v>
          </cell>
          <cell r="O156">
            <v>6</v>
          </cell>
          <cell r="P156" t="str">
            <v>x</v>
          </cell>
          <cell r="Q156" t="str">
            <v>BSD/EFD aus KfZ</v>
          </cell>
          <cell r="R156">
            <v>0</v>
          </cell>
        </row>
        <row r="157">
          <cell r="B157" t="str">
            <v>16-06-8318</v>
          </cell>
          <cell r="C157">
            <v>3</v>
          </cell>
          <cell r="D157" t="str">
            <v>CUG</v>
          </cell>
          <cell r="E157">
            <v>42521</v>
          </cell>
          <cell r="F157" t="str">
            <v>Dir 3</v>
          </cell>
          <cell r="G157">
            <v>0</v>
          </cell>
          <cell r="H157">
            <v>0</v>
          </cell>
          <cell r="I157" t="str">
            <v>x</v>
          </cell>
          <cell r="J157">
            <v>0</v>
          </cell>
          <cell r="K157">
            <v>0</v>
          </cell>
          <cell r="L157">
            <v>0</v>
          </cell>
          <cell r="M157">
            <v>42522</v>
          </cell>
          <cell r="N157">
            <v>42551</v>
          </cell>
          <cell r="O157">
            <v>6</v>
          </cell>
          <cell r="P157" t="str">
            <v>x</v>
          </cell>
          <cell r="Q157" t="str">
            <v>Tiergarten Süd</v>
          </cell>
          <cell r="R157">
            <v>0</v>
          </cell>
        </row>
        <row r="158">
          <cell r="B158" t="str">
            <v>16-06-8319</v>
          </cell>
          <cell r="C158">
            <v>3</v>
          </cell>
          <cell r="D158" t="str">
            <v>CUG</v>
          </cell>
          <cell r="E158">
            <v>42521</v>
          </cell>
          <cell r="F158" t="str">
            <v>Dir 3</v>
          </cell>
          <cell r="G158">
            <v>0</v>
          </cell>
          <cell r="H158">
            <v>0</v>
          </cell>
          <cell r="I158" t="str">
            <v>x</v>
          </cell>
          <cell r="J158">
            <v>0</v>
          </cell>
          <cell r="K158">
            <v>0</v>
          </cell>
          <cell r="L158">
            <v>0</v>
          </cell>
          <cell r="M158">
            <v>42522</v>
          </cell>
          <cell r="N158">
            <v>42551</v>
          </cell>
          <cell r="O158">
            <v>6</v>
          </cell>
          <cell r="P158" t="str">
            <v>x</v>
          </cell>
          <cell r="Q158" t="str">
            <v>Spendensammelbetrug</v>
          </cell>
          <cell r="R158">
            <v>0</v>
          </cell>
        </row>
        <row r="159">
          <cell r="B159" t="str">
            <v>16-06-8320</v>
          </cell>
          <cell r="C159">
            <v>3</v>
          </cell>
          <cell r="D159" t="str">
            <v>CUG</v>
          </cell>
          <cell r="E159">
            <v>42521</v>
          </cell>
          <cell r="F159" t="str">
            <v>Dir 3</v>
          </cell>
          <cell r="G159">
            <v>0</v>
          </cell>
          <cell r="H159">
            <v>0</v>
          </cell>
          <cell r="I159" t="str">
            <v>x</v>
          </cell>
          <cell r="J159">
            <v>0</v>
          </cell>
          <cell r="K159">
            <v>0</v>
          </cell>
          <cell r="L159">
            <v>0</v>
          </cell>
          <cell r="M159">
            <v>42522</v>
          </cell>
          <cell r="N159">
            <v>42551</v>
          </cell>
          <cell r="O159">
            <v>6</v>
          </cell>
          <cell r="P159" t="str">
            <v>x</v>
          </cell>
          <cell r="Q159" t="str">
            <v>Brennpunkt A 36</v>
          </cell>
          <cell r="R159">
            <v>0</v>
          </cell>
        </row>
        <row r="160">
          <cell r="B160" t="str">
            <v>16-06-8321</v>
          </cell>
          <cell r="C160">
            <v>3</v>
          </cell>
          <cell r="D160" t="str">
            <v>CUG</v>
          </cell>
          <cell r="E160">
            <v>42521</v>
          </cell>
          <cell r="F160" t="str">
            <v>Dir 3</v>
          </cell>
          <cell r="G160">
            <v>0</v>
          </cell>
          <cell r="H160">
            <v>0</v>
          </cell>
          <cell r="I160" t="str">
            <v>x</v>
          </cell>
          <cell r="J160">
            <v>0</v>
          </cell>
          <cell r="K160">
            <v>0</v>
          </cell>
          <cell r="L160">
            <v>0</v>
          </cell>
          <cell r="M160">
            <v>42522</v>
          </cell>
          <cell r="N160">
            <v>42551</v>
          </cell>
          <cell r="O160">
            <v>6</v>
          </cell>
          <cell r="P160" t="str">
            <v>x</v>
          </cell>
          <cell r="Q160" t="str">
            <v>kbO Leopoldplatz</v>
          </cell>
          <cell r="R160">
            <v>0</v>
          </cell>
        </row>
        <row r="161">
          <cell r="B161" t="str">
            <v>16-06-8322</v>
          </cell>
          <cell r="C161">
            <v>3</v>
          </cell>
          <cell r="D161" t="str">
            <v>CUG</v>
          </cell>
          <cell r="E161">
            <v>42521</v>
          </cell>
          <cell r="F161" t="str">
            <v>LKA St 12</v>
          </cell>
          <cell r="G161">
            <v>0</v>
          </cell>
          <cell r="H161">
            <v>0</v>
          </cell>
          <cell r="I161" t="str">
            <v>x</v>
          </cell>
          <cell r="J161">
            <v>0</v>
          </cell>
          <cell r="K161">
            <v>0</v>
          </cell>
          <cell r="L161">
            <v>0</v>
          </cell>
          <cell r="M161">
            <v>42522</v>
          </cell>
          <cell r="N161">
            <v>42551</v>
          </cell>
          <cell r="O161">
            <v>6</v>
          </cell>
          <cell r="P161">
            <v>0</v>
          </cell>
          <cell r="Q161" t="str">
            <v>Fahrraddiebstahl A 31</v>
          </cell>
          <cell r="R161" t="str">
            <v>Schirmkonzeption</v>
          </cell>
        </row>
        <row r="162">
          <cell r="B162" t="str">
            <v>16-06-8323</v>
          </cell>
          <cell r="C162">
            <v>3</v>
          </cell>
          <cell r="D162" t="str">
            <v>CUG</v>
          </cell>
          <cell r="E162">
            <v>42521</v>
          </cell>
          <cell r="F162" t="str">
            <v>Dir 4</v>
          </cell>
          <cell r="G162">
            <v>0</v>
          </cell>
          <cell r="H162">
            <v>0</v>
          </cell>
          <cell r="I162">
            <v>0</v>
          </cell>
          <cell r="J162" t="str">
            <v>x</v>
          </cell>
          <cell r="K162">
            <v>0</v>
          </cell>
          <cell r="L162">
            <v>0</v>
          </cell>
          <cell r="M162">
            <v>42522</v>
          </cell>
          <cell r="N162">
            <v>42551</v>
          </cell>
          <cell r="O162">
            <v>6</v>
          </cell>
          <cell r="P162" t="str">
            <v>x</v>
          </cell>
          <cell r="Q162" t="str">
            <v>Wohnraumeinbruch</v>
          </cell>
          <cell r="R162">
            <v>0</v>
          </cell>
        </row>
        <row r="163">
          <cell r="B163" t="str">
            <v>16-06-8324</v>
          </cell>
          <cell r="C163">
            <v>3</v>
          </cell>
          <cell r="D163" t="str">
            <v>CUG</v>
          </cell>
          <cell r="E163">
            <v>42521</v>
          </cell>
          <cell r="F163" t="str">
            <v>Dir 4</v>
          </cell>
          <cell r="G163">
            <v>0</v>
          </cell>
          <cell r="H163">
            <v>0</v>
          </cell>
          <cell r="I163">
            <v>0</v>
          </cell>
          <cell r="J163" t="str">
            <v>x</v>
          </cell>
          <cell r="K163">
            <v>0</v>
          </cell>
          <cell r="L163">
            <v>0</v>
          </cell>
          <cell r="M163">
            <v>42522</v>
          </cell>
          <cell r="N163">
            <v>42551</v>
          </cell>
          <cell r="O163">
            <v>6</v>
          </cell>
          <cell r="P163" t="str">
            <v>x</v>
          </cell>
          <cell r="Q163" t="str">
            <v>Lokalkontrollen Schöneberg-Nord</v>
          </cell>
          <cell r="R163">
            <v>0</v>
          </cell>
        </row>
        <row r="164">
          <cell r="B164" t="str">
            <v>16-06-8325</v>
          </cell>
          <cell r="C164">
            <v>3</v>
          </cell>
          <cell r="D164" t="str">
            <v>CUG</v>
          </cell>
          <cell r="E164">
            <v>42521</v>
          </cell>
          <cell r="F164" t="str">
            <v>Dir 4</v>
          </cell>
          <cell r="G164">
            <v>0</v>
          </cell>
          <cell r="H164">
            <v>0</v>
          </cell>
          <cell r="I164">
            <v>0</v>
          </cell>
          <cell r="J164" t="str">
            <v>x</v>
          </cell>
          <cell r="K164">
            <v>0</v>
          </cell>
          <cell r="L164">
            <v>0</v>
          </cell>
          <cell r="M164">
            <v>42522</v>
          </cell>
          <cell r="N164">
            <v>42551</v>
          </cell>
          <cell r="O164">
            <v>6</v>
          </cell>
          <cell r="P164" t="str">
            <v>x</v>
          </cell>
          <cell r="Q164" t="str">
            <v>Schlachtensee/Krumme Lanke</v>
          </cell>
          <cell r="R164">
            <v>0</v>
          </cell>
        </row>
        <row r="165">
          <cell r="B165" t="str">
            <v>16-06-8326</v>
          </cell>
          <cell r="C165">
            <v>3</v>
          </cell>
          <cell r="D165" t="str">
            <v>CUG</v>
          </cell>
          <cell r="E165">
            <v>42521</v>
          </cell>
          <cell r="F165" t="str">
            <v>Dir 6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 t="str">
            <v>x</v>
          </cell>
          <cell r="M165">
            <v>42522</v>
          </cell>
          <cell r="N165">
            <v>42551</v>
          </cell>
          <cell r="O165">
            <v>6</v>
          </cell>
          <cell r="P165" t="str">
            <v>x</v>
          </cell>
          <cell r="Q165" t="str">
            <v>Wohnraumeinbruch</v>
          </cell>
          <cell r="R165">
            <v>0</v>
          </cell>
        </row>
        <row r="166">
          <cell r="B166" t="str">
            <v>16-06-8327</v>
          </cell>
          <cell r="C166">
            <v>3</v>
          </cell>
          <cell r="D166" t="str">
            <v>CUG</v>
          </cell>
          <cell r="E166">
            <v>42521</v>
          </cell>
          <cell r="F166" t="str">
            <v>LKA St 12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 t="str">
            <v>x</v>
          </cell>
          <cell r="M166">
            <v>42522</v>
          </cell>
          <cell r="N166">
            <v>42551</v>
          </cell>
          <cell r="O166">
            <v>6</v>
          </cell>
          <cell r="P166">
            <v>0</v>
          </cell>
          <cell r="Q166" t="str">
            <v>Fahrraddiebstahl A 66</v>
          </cell>
          <cell r="R166" t="str">
            <v>Schirmkonzeption</v>
          </cell>
        </row>
        <row r="167">
          <cell r="B167" t="str">
            <v>16-06-8428</v>
          </cell>
          <cell r="C167">
            <v>4</v>
          </cell>
          <cell r="D167" t="str">
            <v>CUG</v>
          </cell>
          <cell r="E167">
            <v>42521</v>
          </cell>
          <cell r="F167" t="str">
            <v>Dir 1</v>
          </cell>
          <cell r="G167" t="str">
            <v>x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42522</v>
          </cell>
          <cell r="N167">
            <v>42551</v>
          </cell>
          <cell r="O167">
            <v>6</v>
          </cell>
          <cell r="P167" t="str">
            <v>x</v>
          </cell>
          <cell r="Q167" t="str">
            <v>S-Bhf. Wittenau</v>
          </cell>
          <cell r="R167">
            <v>0</v>
          </cell>
        </row>
        <row r="168">
          <cell r="B168" t="str">
            <v>16-06-8429</v>
          </cell>
          <cell r="C168">
            <v>4</v>
          </cell>
          <cell r="D168" t="str">
            <v>CUG</v>
          </cell>
          <cell r="E168">
            <v>42521</v>
          </cell>
          <cell r="F168" t="str">
            <v>Dir 2</v>
          </cell>
          <cell r="G168">
            <v>0</v>
          </cell>
          <cell r="H168" t="str">
            <v>x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42522</v>
          </cell>
          <cell r="N168">
            <v>42551</v>
          </cell>
          <cell r="O168">
            <v>6</v>
          </cell>
          <cell r="P168" t="str">
            <v>x</v>
          </cell>
          <cell r="Q168" t="str">
            <v>Altstadt Spandau</v>
          </cell>
          <cell r="R168">
            <v>0</v>
          </cell>
        </row>
        <row r="169">
          <cell r="B169" t="str">
            <v>16-06-8430</v>
          </cell>
          <cell r="C169">
            <v>4</v>
          </cell>
          <cell r="D169" t="str">
            <v>CUG</v>
          </cell>
          <cell r="E169">
            <v>42521</v>
          </cell>
          <cell r="F169" t="str">
            <v>Dir 2</v>
          </cell>
          <cell r="G169">
            <v>0</v>
          </cell>
          <cell r="H169" t="str">
            <v>x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42522</v>
          </cell>
          <cell r="N169">
            <v>42551</v>
          </cell>
          <cell r="O169">
            <v>6</v>
          </cell>
          <cell r="P169" t="str">
            <v>x</v>
          </cell>
          <cell r="Q169" t="str">
            <v>kbO Stuttgarter Platz</v>
          </cell>
          <cell r="R169">
            <v>0</v>
          </cell>
        </row>
        <row r="170">
          <cell r="B170" t="str">
            <v>16-06-8431</v>
          </cell>
          <cell r="C170">
            <v>4</v>
          </cell>
          <cell r="D170" t="str">
            <v>CUG</v>
          </cell>
          <cell r="E170">
            <v>42521</v>
          </cell>
          <cell r="F170" t="str">
            <v>Dir 2</v>
          </cell>
          <cell r="G170">
            <v>0</v>
          </cell>
          <cell r="H170" t="str">
            <v>x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42522</v>
          </cell>
          <cell r="N170">
            <v>42551</v>
          </cell>
          <cell r="O170">
            <v>6</v>
          </cell>
          <cell r="P170" t="str">
            <v>x</v>
          </cell>
          <cell r="Q170" t="str">
            <v>ZOB/ Kaiserdamm</v>
          </cell>
          <cell r="R170">
            <v>0</v>
          </cell>
        </row>
        <row r="171">
          <cell r="B171" t="str">
            <v>16-06-8432</v>
          </cell>
          <cell r="C171">
            <v>4</v>
          </cell>
          <cell r="D171" t="str">
            <v>CUG</v>
          </cell>
          <cell r="E171">
            <v>42521</v>
          </cell>
          <cell r="F171" t="str">
            <v>Dir 2</v>
          </cell>
          <cell r="G171">
            <v>0</v>
          </cell>
          <cell r="H171" t="str">
            <v>x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42522</v>
          </cell>
          <cell r="N171">
            <v>42551</v>
          </cell>
          <cell r="O171">
            <v>6</v>
          </cell>
          <cell r="P171" t="str">
            <v>x</v>
          </cell>
          <cell r="Q171" t="str">
            <v>Preußenpark</v>
          </cell>
          <cell r="R171">
            <v>0</v>
          </cell>
        </row>
        <row r="172">
          <cell r="B172" t="str">
            <v>16-06-8433</v>
          </cell>
          <cell r="C172">
            <v>4</v>
          </cell>
          <cell r="D172" t="str">
            <v>CUG</v>
          </cell>
          <cell r="E172">
            <v>42521</v>
          </cell>
          <cell r="F172" t="str">
            <v>Dir 2</v>
          </cell>
          <cell r="G172">
            <v>0</v>
          </cell>
          <cell r="H172" t="str">
            <v>x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42522</v>
          </cell>
          <cell r="N172">
            <v>42551</v>
          </cell>
          <cell r="O172">
            <v>6</v>
          </cell>
          <cell r="P172" t="str">
            <v>x</v>
          </cell>
          <cell r="Q172" t="str">
            <v>U-Bhf. Bismarckstr.</v>
          </cell>
          <cell r="R172">
            <v>0</v>
          </cell>
        </row>
        <row r="173">
          <cell r="B173" t="str">
            <v>16-06-8434</v>
          </cell>
          <cell r="C173">
            <v>4</v>
          </cell>
          <cell r="D173" t="str">
            <v>CUG</v>
          </cell>
          <cell r="E173">
            <v>42521</v>
          </cell>
          <cell r="F173" t="str">
            <v>Dir 2</v>
          </cell>
          <cell r="G173">
            <v>0</v>
          </cell>
          <cell r="H173" t="str">
            <v>x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42522</v>
          </cell>
          <cell r="N173">
            <v>42551</v>
          </cell>
          <cell r="O173">
            <v>6</v>
          </cell>
          <cell r="P173" t="str">
            <v>x</v>
          </cell>
          <cell r="Q173" t="str">
            <v>U-Bhf. Adenauer Platz</v>
          </cell>
          <cell r="R173">
            <v>0</v>
          </cell>
        </row>
        <row r="174">
          <cell r="B174" t="str">
            <v>16-06-8435</v>
          </cell>
          <cell r="C174">
            <v>4</v>
          </cell>
          <cell r="D174" t="str">
            <v>CUG</v>
          </cell>
          <cell r="E174">
            <v>42521</v>
          </cell>
          <cell r="F174" t="str">
            <v>Dir 2</v>
          </cell>
          <cell r="G174">
            <v>0</v>
          </cell>
          <cell r="H174">
            <v>0</v>
          </cell>
          <cell r="I174" t="str">
            <v>x</v>
          </cell>
          <cell r="J174">
            <v>0</v>
          </cell>
          <cell r="K174">
            <v>0</v>
          </cell>
          <cell r="L174">
            <v>0</v>
          </cell>
          <cell r="M174">
            <v>42522</v>
          </cell>
          <cell r="N174">
            <v>42551</v>
          </cell>
          <cell r="O174">
            <v>6</v>
          </cell>
          <cell r="P174" t="str">
            <v>x</v>
          </cell>
          <cell r="Q174" t="str">
            <v>Hütchenspiel</v>
          </cell>
          <cell r="R174" t="str">
            <v>direktionsübergreifend (2, 3)</v>
          </cell>
        </row>
        <row r="175">
          <cell r="B175" t="str">
            <v>16-06-8436</v>
          </cell>
          <cell r="C175">
            <v>4</v>
          </cell>
          <cell r="D175" t="str">
            <v>CUG</v>
          </cell>
          <cell r="E175">
            <v>42521</v>
          </cell>
          <cell r="F175" t="str">
            <v>LKA St 12</v>
          </cell>
          <cell r="G175">
            <v>0</v>
          </cell>
          <cell r="H175" t="str">
            <v>x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42522</v>
          </cell>
          <cell r="N175">
            <v>42551</v>
          </cell>
          <cell r="O175">
            <v>6</v>
          </cell>
          <cell r="P175">
            <v>0</v>
          </cell>
          <cell r="Q175" t="str">
            <v>Taschendiebstahl A 25</v>
          </cell>
          <cell r="R175" t="str">
            <v>Schirmkonzeption</v>
          </cell>
        </row>
        <row r="176">
          <cell r="B176" t="str">
            <v>16-06-8437</v>
          </cell>
          <cell r="C176">
            <v>4</v>
          </cell>
          <cell r="D176" t="str">
            <v>CUG</v>
          </cell>
          <cell r="E176">
            <v>42521</v>
          </cell>
          <cell r="F176" t="str">
            <v>Dir 3</v>
          </cell>
          <cell r="G176">
            <v>0</v>
          </cell>
          <cell r="H176">
            <v>0</v>
          </cell>
          <cell r="I176" t="str">
            <v>x</v>
          </cell>
          <cell r="J176">
            <v>0</v>
          </cell>
          <cell r="K176">
            <v>0</v>
          </cell>
          <cell r="L176">
            <v>0</v>
          </cell>
          <cell r="M176">
            <v>42522</v>
          </cell>
          <cell r="N176">
            <v>42551</v>
          </cell>
          <cell r="O176">
            <v>6</v>
          </cell>
          <cell r="P176" t="str">
            <v>x</v>
          </cell>
          <cell r="Q176" t="str">
            <v>Tiergarten Süd</v>
          </cell>
          <cell r="R176">
            <v>0</v>
          </cell>
        </row>
        <row r="177">
          <cell r="B177" t="str">
            <v>16-06-8438</v>
          </cell>
          <cell r="C177">
            <v>4</v>
          </cell>
          <cell r="D177" t="str">
            <v>CUG</v>
          </cell>
          <cell r="E177">
            <v>42521</v>
          </cell>
          <cell r="F177" t="str">
            <v>Dir 3</v>
          </cell>
          <cell r="G177">
            <v>0</v>
          </cell>
          <cell r="H177">
            <v>0</v>
          </cell>
          <cell r="I177" t="str">
            <v>x</v>
          </cell>
          <cell r="J177">
            <v>0</v>
          </cell>
          <cell r="K177">
            <v>0</v>
          </cell>
          <cell r="L177">
            <v>0</v>
          </cell>
          <cell r="M177">
            <v>42522</v>
          </cell>
          <cell r="N177">
            <v>42551</v>
          </cell>
          <cell r="O177">
            <v>6</v>
          </cell>
          <cell r="P177" t="str">
            <v>x</v>
          </cell>
          <cell r="Q177" t="str">
            <v>kbO Leopoldplatz</v>
          </cell>
          <cell r="R177">
            <v>0</v>
          </cell>
        </row>
        <row r="178">
          <cell r="B178" t="str">
            <v>16-06-8439</v>
          </cell>
          <cell r="C178">
            <v>4</v>
          </cell>
          <cell r="D178" t="str">
            <v>CUG</v>
          </cell>
          <cell r="E178">
            <v>42521</v>
          </cell>
          <cell r="F178" t="str">
            <v>LKA St 12</v>
          </cell>
          <cell r="G178">
            <v>0</v>
          </cell>
          <cell r="H178">
            <v>0</v>
          </cell>
          <cell r="I178" t="str">
            <v>x</v>
          </cell>
          <cell r="J178">
            <v>0</v>
          </cell>
          <cell r="K178">
            <v>0</v>
          </cell>
          <cell r="L178">
            <v>0</v>
          </cell>
          <cell r="M178">
            <v>42522</v>
          </cell>
          <cell r="N178">
            <v>42551</v>
          </cell>
          <cell r="O178">
            <v>6</v>
          </cell>
          <cell r="P178">
            <v>0</v>
          </cell>
          <cell r="Q178" t="str">
            <v>Taschendiebstahl Dir 3</v>
          </cell>
          <cell r="R178" t="str">
            <v>Schirmkonzeption</v>
          </cell>
        </row>
        <row r="179">
          <cell r="B179" t="str">
            <v>16-06-8440</v>
          </cell>
          <cell r="C179">
            <v>4</v>
          </cell>
          <cell r="D179" t="str">
            <v>CUG</v>
          </cell>
          <cell r="E179">
            <v>42521</v>
          </cell>
          <cell r="F179" t="str">
            <v>Dir 4</v>
          </cell>
          <cell r="G179">
            <v>0</v>
          </cell>
          <cell r="H179">
            <v>0</v>
          </cell>
          <cell r="I179">
            <v>0</v>
          </cell>
          <cell r="J179" t="str">
            <v>x</v>
          </cell>
          <cell r="K179">
            <v>0</v>
          </cell>
          <cell r="L179">
            <v>0</v>
          </cell>
          <cell r="M179">
            <v>42522</v>
          </cell>
          <cell r="N179">
            <v>42551</v>
          </cell>
          <cell r="O179">
            <v>6</v>
          </cell>
          <cell r="P179" t="str">
            <v>x</v>
          </cell>
          <cell r="Q179" t="str">
            <v>kbO Schöneberg-Nord</v>
          </cell>
          <cell r="R179">
            <v>0</v>
          </cell>
        </row>
        <row r="180">
          <cell r="B180" t="str">
            <v>16-06-8441</v>
          </cell>
          <cell r="C180">
            <v>4</v>
          </cell>
          <cell r="D180" t="str">
            <v>CUG</v>
          </cell>
          <cell r="E180">
            <v>42521</v>
          </cell>
          <cell r="F180" t="str">
            <v>Dir 4</v>
          </cell>
          <cell r="G180">
            <v>0</v>
          </cell>
          <cell r="H180">
            <v>0</v>
          </cell>
          <cell r="I180">
            <v>0</v>
          </cell>
          <cell r="J180" t="str">
            <v>x</v>
          </cell>
          <cell r="K180">
            <v>0</v>
          </cell>
          <cell r="L180">
            <v>0</v>
          </cell>
          <cell r="M180">
            <v>42522</v>
          </cell>
          <cell r="N180">
            <v>42551</v>
          </cell>
          <cell r="O180">
            <v>6</v>
          </cell>
          <cell r="P180" t="str">
            <v>x</v>
          </cell>
          <cell r="Q180" t="str">
            <v>Schlachtensee/Krumme Lanke</v>
          </cell>
          <cell r="R180">
            <v>0</v>
          </cell>
        </row>
        <row r="181">
          <cell r="B181" t="str">
            <v>16-06-8442</v>
          </cell>
          <cell r="C181">
            <v>4</v>
          </cell>
          <cell r="D181" t="str">
            <v>CUG</v>
          </cell>
          <cell r="E181">
            <v>42521</v>
          </cell>
          <cell r="F181" t="str">
            <v>Dir 4</v>
          </cell>
          <cell r="G181">
            <v>0</v>
          </cell>
          <cell r="H181">
            <v>0</v>
          </cell>
          <cell r="I181">
            <v>0</v>
          </cell>
          <cell r="J181" t="str">
            <v>x</v>
          </cell>
          <cell r="K181">
            <v>0</v>
          </cell>
          <cell r="L181">
            <v>0</v>
          </cell>
          <cell r="M181">
            <v>42522</v>
          </cell>
          <cell r="N181">
            <v>42551</v>
          </cell>
          <cell r="O181">
            <v>6</v>
          </cell>
          <cell r="P181" t="str">
            <v>x</v>
          </cell>
          <cell r="Q181" t="str">
            <v>Wohnraumeinbruch</v>
          </cell>
          <cell r="R181">
            <v>0</v>
          </cell>
        </row>
        <row r="182">
          <cell r="B182" t="str">
            <v>16-06-8443</v>
          </cell>
          <cell r="C182">
            <v>4</v>
          </cell>
          <cell r="D182" t="str">
            <v>CUG</v>
          </cell>
          <cell r="E182">
            <v>42521</v>
          </cell>
          <cell r="F182" t="str">
            <v>LKA St 12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x</v>
          </cell>
          <cell r="L182">
            <v>0</v>
          </cell>
          <cell r="M182">
            <v>42522</v>
          </cell>
          <cell r="N182">
            <v>42551</v>
          </cell>
          <cell r="O182">
            <v>6</v>
          </cell>
          <cell r="P182">
            <v>0</v>
          </cell>
          <cell r="Q182" t="str">
            <v>Kellereinbruch A 54</v>
          </cell>
          <cell r="R182" t="str">
            <v>Schirmkonzeption</v>
          </cell>
        </row>
        <row r="183">
          <cell r="B183" t="str">
            <v>16-06-8444</v>
          </cell>
          <cell r="C183">
            <v>4</v>
          </cell>
          <cell r="D183" t="str">
            <v>CUG</v>
          </cell>
          <cell r="E183">
            <v>42521</v>
          </cell>
          <cell r="F183" t="str">
            <v>Dir 6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 t="str">
            <v>x</v>
          </cell>
          <cell r="M183">
            <v>42522</v>
          </cell>
          <cell r="N183">
            <v>42551</v>
          </cell>
          <cell r="O183">
            <v>6</v>
          </cell>
          <cell r="P183" t="str">
            <v>x</v>
          </cell>
          <cell r="Q183" t="str">
            <v>KfZ - Diebstahl</v>
          </cell>
          <cell r="R183">
            <v>0</v>
          </cell>
        </row>
        <row r="184">
          <cell r="B184" t="str">
            <v>16-06-8445</v>
          </cell>
          <cell r="C184">
            <v>4</v>
          </cell>
          <cell r="D184" t="str">
            <v>CUG</v>
          </cell>
          <cell r="E184">
            <v>42521</v>
          </cell>
          <cell r="F184" t="str">
            <v>LKA St 12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 t="str">
            <v>x</v>
          </cell>
          <cell r="M184">
            <v>42522</v>
          </cell>
          <cell r="N184">
            <v>42551</v>
          </cell>
          <cell r="O184">
            <v>6</v>
          </cell>
          <cell r="P184">
            <v>0</v>
          </cell>
          <cell r="Q184" t="str">
            <v>Fahrraddiebstahl A 65</v>
          </cell>
          <cell r="R184" t="str">
            <v>Schirmkonzeption</v>
          </cell>
        </row>
        <row r="185">
          <cell r="B185" t="str">
            <v>16-07-8201</v>
          </cell>
          <cell r="C185">
            <v>2</v>
          </cell>
          <cell r="D185" t="str">
            <v>CUG</v>
          </cell>
          <cell r="E185">
            <v>42551</v>
          </cell>
          <cell r="F185" t="str">
            <v>Dir 5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x</v>
          </cell>
          <cell r="L185">
            <v>0</v>
          </cell>
          <cell r="M185">
            <v>42552</v>
          </cell>
          <cell r="N185">
            <v>42582</v>
          </cell>
          <cell r="O185">
            <v>7</v>
          </cell>
          <cell r="P185">
            <v>0</v>
          </cell>
          <cell r="Q185" t="str">
            <v>kbO Warschauer Brücke - Kottbusser Tor</v>
          </cell>
          <cell r="R185">
            <v>0</v>
          </cell>
        </row>
        <row r="186">
          <cell r="B186" t="str">
            <v>16-07-8302</v>
          </cell>
          <cell r="C186">
            <v>3</v>
          </cell>
          <cell r="D186" t="str">
            <v>CUG</v>
          </cell>
          <cell r="E186">
            <v>42551</v>
          </cell>
          <cell r="F186" t="str">
            <v>Dir 4</v>
          </cell>
          <cell r="G186">
            <v>0</v>
          </cell>
          <cell r="H186">
            <v>0</v>
          </cell>
          <cell r="I186">
            <v>0</v>
          </cell>
          <cell r="J186" t="str">
            <v>x</v>
          </cell>
          <cell r="K186">
            <v>0</v>
          </cell>
          <cell r="L186">
            <v>0</v>
          </cell>
          <cell r="M186">
            <v>42552</v>
          </cell>
          <cell r="N186">
            <v>42582</v>
          </cell>
          <cell r="O186">
            <v>7</v>
          </cell>
          <cell r="P186" t="str">
            <v>x</v>
          </cell>
          <cell r="Q186" t="str">
            <v>Lokalkontrollen Schöneberg-Nord</v>
          </cell>
          <cell r="R186">
            <v>0</v>
          </cell>
        </row>
        <row r="187">
          <cell r="B187" t="str">
            <v>16-07-8303</v>
          </cell>
          <cell r="C187">
            <v>3</v>
          </cell>
          <cell r="D187" t="str">
            <v>CUG</v>
          </cell>
          <cell r="E187">
            <v>42551</v>
          </cell>
          <cell r="F187" t="str">
            <v>LKA St 12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 t="str">
            <v>x</v>
          </cell>
          <cell r="M187">
            <v>42552</v>
          </cell>
          <cell r="N187">
            <v>42582</v>
          </cell>
          <cell r="O187">
            <v>7</v>
          </cell>
          <cell r="P187">
            <v>0</v>
          </cell>
          <cell r="Q187" t="str">
            <v>Fahrraddiebstahl A 66</v>
          </cell>
          <cell r="R187" t="str">
            <v>Schirmkonzeption</v>
          </cell>
        </row>
        <row r="188">
          <cell r="B188" t="str">
            <v>16-07-8304</v>
          </cell>
          <cell r="C188">
            <v>3</v>
          </cell>
          <cell r="D188" t="str">
            <v>CUG</v>
          </cell>
          <cell r="E188">
            <v>42551</v>
          </cell>
          <cell r="F188" t="str">
            <v>Dir 6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 t="str">
            <v>x</v>
          </cell>
          <cell r="M188">
            <v>42552</v>
          </cell>
          <cell r="N188">
            <v>42582</v>
          </cell>
          <cell r="O188">
            <v>7</v>
          </cell>
          <cell r="P188" t="str">
            <v>x</v>
          </cell>
          <cell r="Q188" t="str">
            <v>Wohnraumeinbruch Dir 6</v>
          </cell>
          <cell r="R188">
            <v>0</v>
          </cell>
        </row>
        <row r="189">
          <cell r="B189" t="str">
            <v>16-07-8305</v>
          </cell>
          <cell r="C189">
            <v>3</v>
          </cell>
          <cell r="D189" t="str">
            <v>CUG</v>
          </cell>
          <cell r="E189">
            <v>42551</v>
          </cell>
          <cell r="F189" t="str">
            <v>Dir 3</v>
          </cell>
          <cell r="G189">
            <v>0</v>
          </cell>
          <cell r="H189">
            <v>0</v>
          </cell>
          <cell r="I189" t="str">
            <v>x</v>
          </cell>
          <cell r="J189">
            <v>0</v>
          </cell>
          <cell r="K189">
            <v>0</v>
          </cell>
          <cell r="L189">
            <v>0</v>
          </cell>
          <cell r="M189">
            <v>42552</v>
          </cell>
          <cell r="N189">
            <v>42582</v>
          </cell>
          <cell r="O189">
            <v>7</v>
          </cell>
          <cell r="P189" t="str">
            <v>x</v>
          </cell>
          <cell r="Q189" t="str">
            <v>Tiergarten Süd</v>
          </cell>
          <cell r="R189">
            <v>0</v>
          </cell>
        </row>
        <row r="190">
          <cell r="B190" t="str">
            <v>16-07-8206</v>
          </cell>
          <cell r="C190">
            <v>2</v>
          </cell>
          <cell r="D190" t="str">
            <v>CUG</v>
          </cell>
          <cell r="E190">
            <v>42551</v>
          </cell>
          <cell r="F190" t="str">
            <v>Dir 3</v>
          </cell>
          <cell r="G190">
            <v>0</v>
          </cell>
          <cell r="H190">
            <v>0</v>
          </cell>
          <cell r="I190" t="str">
            <v>x</v>
          </cell>
          <cell r="J190">
            <v>0</v>
          </cell>
          <cell r="K190">
            <v>0</v>
          </cell>
          <cell r="L190">
            <v>0</v>
          </cell>
          <cell r="M190">
            <v>42552</v>
          </cell>
          <cell r="N190">
            <v>42582</v>
          </cell>
          <cell r="O190">
            <v>7</v>
          </cell>
          <cell r="P190">
            <v>0</v>
          </cell>
          <cell r="Q190" t="str">
            <v>kbO Kleiner Tiergarten</v>
          </cell>
          <cell r="R190">
            <v>0</v>
          </cell>
        </row>
        <row r="191">
          <cell r="B191" t="str">
            <v>16-07-8307</v>
          </cell>
          <cell r="C191">
            <v>3</v>
          </cell>
          <cell r="D191" t="str">
            <v>CUG</v>
          </cell>
          <cell r="E191">
            <v>42551</v>
          </cell>
          <cell r="F191" t="str">
            <v>LKA St 12</v>
          </cell>
          <cell r="G191">
            <v>0</v>
          </cell>
          <cell r="H191" t="str">
            <v>x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42552</v>
          </cell>
          <cell r="N191">
            <v>42582</v>
          </cell>
          <cell r="O191">
            <v>7</v>
          </cell>
          <cell r="P191">
            <v>0</v>
          </cell>
          <cell r="Q191" t="str">
            <v>Taschendiebstahl A 25</v>
          </cell>
          <cell r="R191" t="str">
            <v>Schirmkonzeption</v>
          </cell>
        </row>
        <row r="192">
          <cell r="B192" t="str">
            <v>16-07-8308</v>
          </cell>
          <cell r="C192">
            <v>3</v>
          </cell>
          <cell r="D192" t="str">
            <v>CUG</v>
          </cell>
          <cell r="E192">
            <v>42551</v>
          </cell>
          <cell r="F192" t="str">
            <v>Dir 3</v>
          </cell>
          <cell r="G192">
            <v>0</v>
          </cell>
          <cell r="H192">
            <v>0</v>
          </cell>
          <cell r="I192" t="str">
            <v>x</v>
          </cell>
          <cell r="J192">
            <v>0</v>
          </cell>
          <cell r="K192">
            <v>0</v>
          </cell>
          <cell r="L192">
            <v>0</v>
          </cell>
          <cell r="M192">
            <v>42552</v>
          </cell>
          <cell r="N192">
            <v>42582</v>
          </cell>
          <cell r="O192">
            <v>7</v>
          </cell>
          <cell r="P192" t="str">
            <v>x</v>
          </cell>
          <cell r="Q192" t="str">
            <v>Spendensammelbetrug</v>
          </cell>
          <cell r="R192">
            <v>0</v>
          </cell>
        </row>
        <row r="193">
          <cell r="B193" t="str">
            <v>16-07-8209</v>
          </cell>
          <cell r="C193">
            <v>2</v>
          </cell>
          <cell r="D193" t="str">
            <v>CUG</v>
          </cell>
          <cell r="E193">
            <v>42551</v>
          </cell>
          <cell r="F193" t="str">
            <v>Dir 3</v>
          </cell>
          <cell r="G193">
            <v>0</v>
          </cell>
          <cell r="H193">
            <v>0</v>
          </cell>
          <cell r="I193" t="str">
            <v>x</v>
          </cell>
          <cell r="J193">
            <v>0</v>
          </cell>
          <cell r="K193">
            <v>0</v>
          </cell>
          <cell r="L193">
            <v>0</v>
          </cell>
          <cell r="M193">
            <v>42552</v>
          </cell>
          <cell r="N193">
            <v>42582</v>
          </cell>
          <cell r="O193">
            <v>7</v>
          </cell>
          <cell r="P193">
            <v>0</v>
          </cell>
          <cell r="Q193" t="str">
            <v>Sichere Mitte</v>
          </cell>
          <cell r="R193">
            <v>0</v>
          </cell>
        </row>
        <row r="194">
          <cell r="B194" t="str">
            <v>16-07-8210</v>
          </cell>
          <cell r="C194">
            <v>2</v>
          </cell>
          <cell r="D194" t="str">
            <v>CUG</v>
          </cell>
          <cell r="E194">
            <v>42551</v>
          </cell>
          <cell r="F194" t="str">
            <v>Dir 2</v>
          </cell>
          <cell r="G194">
            <v>0</v>
          </cell>
          <cell r="H194" t="str">
            <v>x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42552</v>
          </cell>
          <cell r="N194">
            <v>42582</v>
          </cell>
          <cell r="O194">
            <v>7</v>
          </cell>
          <cell r="P194">
            <v>0</v>
          </cell>
          <cell r="Q194" t="str">
            <v>Focus City West</v>
          </cell>
          <cell r="R194">
            <v>0</v>
          </cell>
        </row>
        <row r="195">
          <cell r="B195" t="str">
            <v>16-07-8211</v>
          </cell>
          <cell r="C195">
            <v>2</v>
          </cell>
          <cell r="D195" t="str">
            <v>CUG</v>
          </cell>
          <cell r="E195">
            <v>42551</v>
          </cell>
          <cell r="F195" t="str">
            <v>Dir 2</v>
          </cell>
          <cell r="G195">
            <v>0</v>
          </cell>
          <cell r="H195" t="str">
            <v>x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42552</v>
          </cell>
          <cell r="N195">
            <v>42582</v>
          </cell>
          <cell r="O195">
            <v>7</v>
          </cell>
          <cell r="P195">
            <v>0</v>
          </cell>
          <cell r="Q195" t="str">
            <v>Hütchenspiel</v>
          </cell>
          <cell r="R195" t="str">
            <v>direktionsübergreifend (2, 3)</v>
          </cell>
        </row>
        <row r="196">
          <cell r="B196" t="str">
            <v>16-07-8212</v>
          </cell>
          <cell r="C196">
            <v>2</v>
          </cell>
          <cell r="D196" t="str">
            <v>CUG</v>
          </cell>
          <cell r="E196">
            <v>42551</v>
          </cell>
          <cell r="F196" t="str">
            <v>Dir 2</v>
          </cell>
          <cell r="G196">
            <v>0</v>
          </cell>
          <cell r="H196">
            <v>0</v>
          </cell>
          <cell r="I196" t="str">
            <v>x</v>
          </cell>
          <cell r="J196">
            <v>0</v>
          </cell>
          <cell r="K196">
            <v>0</v>
          </cell>
          <cell r="L196">
            <v>0</v>
          </cell>
          <cell r="M196">
            <v>42552</v>
          </cell>
          <cell r="N196">
            <v>42582</v>
          </cell>
          <cell r="O196">
            <v>7</v>
          </cell>
          <cell r="P196">
            <v>0</v>
          </cell>
          <cell r="Q196" t="str">
            <v>Hütchenspiel</v>
          </cell>
          <cell r="R196" t="str">
            <v>direktionsübergreifend (2, 3)</v>
          </cell>
        </row>
        <row r="197">
          <cell r="B197" t="str">
            <v>16-07-8213</v>
          </cell>
          <cell r="C197">
            <v>2</v>
          </cell>
          <cell r="D197" t="str">
            <v>CUG</v>
          </cell>
          <cell r="E197">
            <v>42551</v>
          </cell>
          <cell r="F197" t="str">
            <v>Dir 5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x</v>
          </cell>
          <cell r="L197">
            <v>0</v>
          </cell>
          <cell r="M197">
            <v>42552</v>
          </cell>
          <cell r="N197">
            <v>42582</v>
          </cell>
          <cell r="O197">
            <v>7</v>
          </cell>
          <cell r="P197">
            <v>0</v>
          </cell>
          <cell r="Q197" t="str">
            <v>kbO Kottbusser Tor</v>
          </cell>
          <cell r="R197">
            <v>0</v>
          </cell>
        </row>
        <row r="198">
          <cell r="B198" t="str">
            <v>16-07-8214</v>
          </cell>
          <cell r="C198">
            <v>2</v>
          </cell>
          <cell r="D198" t="str">
            <v>CUG</v>
          </cell>
          <cell r="E198">
            <v>42551</v>
          </cell>
          <cell r="F198" t="str">
            <v>Dir 5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x</v>
          </cell>
          <cell r="L198">
            <v>0</v>
          </cell>
          <cell r="M198">
            <v>42552</v>
          </cell>
          <cell r="N198">
            <v>42582</v>
          </cell>
          <cell r="O198">
            <v>7</v>
          </cell>
          <cell r="P198">
            <v>0</v>
          </cell>
          <cell r="Q198" t="str">
            <v>kbO Warschauer Brücke</v>
          </cell>
          <cell r="R198">
            <v>0</v>
          </cell>
        </row>
        <row r="199">
          <cell r="B199" t="str">
            <v>16-07-8215</v>
          </cell>
          <cell r="C199">
            <v>2</v>
          </cell>
          <cell r="D199" t="str">
            <v>CUG</v>
          </cell>
          <cell r="E199">
            <v>42551</v>
          </cell>
          <cell r="F199" t="str">
            <v>Dir 5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x</v>
          </cell>
          <cell r="L199">
            <v>0</v>
          </cell>
          <cell r="M199">
            <v>42552</v>
          </cell>
          <cell r="N199">
            <v>42582</v>
          </cell>
          <cell r="O199">
            <v>7</v>
          </cell>
          <cell r="P199">
            <v>0</v>
          </cell>
          <cell r="Q199" t="str">
            <v>kbO Görlitzer Park</v>
          </cell>
          <cell r="R199">
            <v>0</v>
          </cell>
        </row>
        <row r="200">
          <cell r="B200" t="str">
            <v>16-07-8216</v>
          </cell>
          <cell r="C200">
            <v>2</v>
          </cell>
          <cell r="D200" t="str">
            <v>CUG</v>
          </cell>
          <cell r="E200">
            <v>42551</v>
          </cell>
          <cell r="F200" t="str">
            <v>Dir 5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 t="str">
            <v>x</v>
          </cell>
          <cell r="L200">
            <v>0</v>
          </cell>
          <cell r="M200">
            <v>42552</v>
          </cell>
          <cell r="N200">
            <v>42582</v>
          </cell>
          <cell r="O200">
            <v>7</v>
          </cell>
          <cell r="P200">
            <v>0</v>
          </cell>
          <cell r="Q200" t="str">
            <v>kbO Rigaer Str.</v>
          </cell>
          <cell r="R200">
            <v>0</v>
          </cell>
        </row>
        <row r="201">
          <cell r="B201" t="str">
            <v>16-07-8317</v>
          </cell>
          <cell r="C201">
            <v>3</v>
          </cell>
          <cell r="D201" t="str">
            <v>CUG</v>
          </cell>
          <cell r="E201">
            <v>42551</v>
          </cell>
          <cell r="F201" t="str">
            <v>LKA St 12</v>
          </cell>
          <cell r="G201">
            <v>0</v>
          </cell>
          <cell r="H201" t="str">
            <v>x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42552</v>
          </cell>
          <cell r="N201">
            <v>42582</v>
          </cell>
          <cell r="O201">
            <v>7</v>
          </cell>
          <cell r="P201">
            <v>0</v>
          </cell>
          <cell r="Q201" t="str">
            <v>Fahrraddiebstahl A 26</v>
          </cell>
          <cell r="R201" t="str">
            <v>Schirmkonzeption</v>
          </cell>
        </row>
        <row r="202">
          <cell r="B202" t="str">
            <v>16-07-8318</v>
          </cell>
          <cell r="C202">
            <v>3</v>
          </cell>
          <cell r="D202" t="str">
            <v>CUG</v>
          </cell>
          <cell r="E202">
            <v>42551</v>
          </cell>
          <cell r="F202" t="str">
            <v>LKA St 12</v>
          </cell>
          <cell r="G202" t="str">
            <v>x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42552</v>
          </cell>
          <cell r="N202">
            <v>42582</v>
          </cell>
          <cell r="O202">
            <v>7</v>
          </cell>
          <cell r="P202">
            <v>0</v>
          </cell>
          <cell r="Q202" t="str">
            <v>Fahrraddiebstahl A 12</v>
          </cell>
          <cell r="R202" t="str">
            <v>Schirmkonzeption</v>
          </cell>
        </row>
        <row r="203">
          <cell r="B203" t="str">
            <v>16-07-8319</v>
          </cell>
          <cell r="C203">
            <v>3</v>
          </cell>
          <cell r="D203" t="str">
            <v>CUG</v>
          </cell>
          <cell r="E203">
            <v>42551</v>
          </cell>
          <cell r="F203" t="str">
            <v>LKA St 12</v>
          </cell>
          <cell r="G203">
            <v>0</v>
          </cell>
          <cell r="H203">
            <v>0</v>
          </cell>
          <cell r="I203" t="str">
            <v>x</v>
          </cell>
          <cell r="J203">
            <v>0</v>
          </cell>
          <cell r="K203">
            <v>0</v>
          </cell>
          <cell r="L203">
            <v>0</v>
          </cell>
          <cell r="M203">
            <v>42552</v>
          </cell>
          <cell r="N203">
            <v>42582</v>
          </cell>
          <cell r="O203">
            <v>7</v>
          </cell>
          <cell r="P203">
            <v>0</v>
          </cell>
          <cell r="Q203" t="str">
            <v>Taschendiebstahl Dir 3</v>
          </cell>
          <cell r="R203" t="str">
            <v>Schirmkonzeption</v>
          </cell>
        </row>
        <row r="204">
          <cell r="B204" t="str">
            <v>16-07-8320</v>
          </cell>
          <cell r="C204">
            <v>3</v>
          </cell>
          <cell r="D204" t="str">
            <v>CUG</v>
          </cell>
          <cell r="E204">
            <v>42551</v>
          </cell>
          <cell r="F204" t="str">
            <v>Dir 1</v>
          </cell>
          <cell r="G204" t="str">
            <v>x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42552</v>
          </cell>
          <cell r="N204">
            <v>42582</v>
          </cell>
          <cell r="O204">
            <v>7</v>
          </cell>
          <cell r="P204" t="str">
            <v>x</v>
          </cell>
          <cell r="Q204" t="str">
            <v>Mauerpark</v>
          </cell>
          <cell r="R204">
            <v>0</v>
          </cell>
        </row>
        <row r="205">
          <cell r="B205" t="str">
            <v>16-07-8321</v>
          </cell>
          <cell r="C205">
            <v>3</v>
          </cell>
          <cell r="D205" t="str">
            <v>CUG</v>
          </cell>
          <cell r="E205">
            <v>42551</v>
          </cell>
          <cell r="F205" t="str">
            <v>Dir 1</v>
          </cell>
          <cell r="G205" t="str">
            <v>x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42552</v>
          </cell>
          <cell r="N205">
            <v>42582</v>
          </cell>
          <cell r="O205">
            <v>7</v>
          </cell>
          <cell r="P205" t="str">
            <v>x</v>
          </cell>
          <cell r="Q205" t="str">
            <v>Badestrände A 11</v>
          </cell>
          <cell r="R205">
            <v>0</v>
          </cell>
        </row>
        <row r="206">
          <cell r="B206" t="str">
            <v>16-07-8322</v>
          </cell>
          <cell r="C206">
            <v>3</v>
          </cell>
          <cell r="D206" t="str">
            <v>CUG</v>
          </cell>
          <cell r="E206">
            <v>42551</v>
          </cell>
          <cell r="F206" t="str">
            <v>Dir 2</v>
          </cell>
          <cell r="G206">
            <v>0</v>
          </cell>
          <cell r="H206" t="str">
            <v>x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42552</v>
          </cell>
          <cell r="N206">
            <v>42582</v>
          </cell>
          <cell r="O206">
            <v>7</v>
          </cell>
          <cell r="P206" t="str">
            <v>x</v>
          </cell>
          <cell r="Q206" t="str">
            <v>Preußenpark</v>
          </cell>
          <cell r="R206">
            <v>0</v>
          </cell>
        </row>
        <row r="207">
          <cell r="B207" t="str">
            <v>16-07-8323</v>
          </cell>
          <cell r="C207">
            <v>3</v>
          </cell>
          <cell r="D207" t="str">
            <v>CUG</v>
          </cell>
          <cell r="E207">
            <v>42551</v>
          </cell>
          <cell r="F207" t="str">
            <v>Dir 2</v>
          </cell>
          <cell r="G207">
            <v>0</v>
          </cell>
          <cell r="H207" t="str">
            <v>x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42552</v>
          </cell>
          <cell r="N207">
            <v>42582</v>
          </cell>
          <cell r="O207">
            <v>7</v>
          </cell>
          <cell r="P207" t="str">
            <v>x</v>
          </cell>
          <cell r="Q207" t="str">
            <v>kbO Stuttgarter Platz</v>
          </cell>
          <cell r="R207">
            <v>0</v>
          </cell>
        </row>
        <row r="208">
          <cell r="B208" t="str">
            <v>16-07-8324</v>
          </cell>
          <cell r="C208">
            <v>3</v>
          </cell>
          <cell r="D208" t="str">
            <v>CUG</v>
          </cell>
          <cell r="E208">
            <v>42551</v>
          </cell>
          <cell r="F208" t="str">
            <v>Dir 2</v>
          </cell>
          <cell r="G208">
            <v>0</v>
          </cell>
          <cell r="H208" t="str">
            <v>x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42552</v>
          </cell>
          <cell r="N208">
            <v>42582</v>
          </cell>
          <cell r="O208">
            <v>7</v>
          </cell>
          <cell r="P208" t="str">
            <v>x</v>
          </cell>
          <cell r="Q208" t="str">
            <v>Volkspark Wilmersdorf</v>
          </cell>
          <cell r="R208">
            <v>0</v>
          </cell>
        </row>
        <row r="209">
          <cell r="B209" t="str">
            <v>16-07-8325</v>
          </cell>
          <cell r="C209">
            <v>3</v>
          </cell>
          <cell r="D209" t="str">
            <v>CUG</v>
          </cell>
          <cell r="E209">
            <v>42551</v>
          </cell>
          <cell r="F209" t="str">
            <v>Dir 2</v>
          </cell>
          <cell r="G209">
            <v>0</v>
          </cell>
          <cell r="H209" t="str">
            <v>x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42552</v>
          </cell>
          <cell r="N209">
            <v>42582</v>
          </cell>
          <cell r="O209">
            <v>7</v>
          </cell>
          <cell r="P209" t="str">
            <v>x</v>
          </cell>
          <cell r="Q209" t="str">
            <v>ZOB/ Kaiserdamm</v>
          </cell>
          <cell r="R209">
            <v>0</v>
          </cell>
        </row>
        <row r="210">
          <cell r="B210" t="str">
            <v>16-07-8326</v>
          </cell>
          <cell r="C210">
            <v>3</v>
          </cell>
          <cell r="D210" t="str">
            <v>CUG</v>
          </cell>
          <cell r="E210">
            <v>42551</v>
          </cell>
          <cell r="F210" t="str">
            <v>Dir 3</v>
          </cell>
          <cell r="G210">
            <v>0</v>
          </cell>
          <cell r="H210">
            <v>0</v>
          </cell>
          <cell r="I210" t="str">
            <v>x</v>
          </cell>
          <cell r="J210">
            <v>0</v>
          </cell>
          <cell r="K210">
            <v>0</v>
          </cell>
          <cell r="L210">
            <v>0</v>
          </cell>
          <cell r="M210">
            <v>42552</v>
          </cell>
          <cell r="N210">
            <v>42582</v>
          </cell>
          <cell r="O210">
            <v>7</v>
          </cell>
          <cell r="P210" t="str">
            <v>x</v>
          </cell>
          <cell r="Q210" t="str">
            <v>BSD/EFD aus KfZ</v>
          </cell>
          <cell r="R210">
            <v>0</v>
          </cell>
        </row>
        <row r="211">
          <cell r="B211" t="str">
            <v>16-07-8327</v>
          </cell>
          <cell r="C211">
            <v>3</v>
          </cell>
          <cell r="D211" t="str">
            <v>CUG</v>
          </cell>
          <cell r="E211">
            <v>42551</v>
          </cell>
          <cell r="F211" t="str">
            <v>Dir 3</v>
          </cell>
          <cell r="G211">
            <v>0</v>
          </cell>
          <cell r="H211">
            <v>0</v>
          </cell>
          <cell r="I211" t="str">
            <v>x</v>
          </cell>
          <cell r="J211">
            <v>0</v>
          </cell>
          <cell r="K211">
            <v>0</v>
          </cell>
          <cell r="L211">
            <v>0</v>
          </cell>
          <cell r="M211">
            <v>42552</v>
          </cell>
          <cell r="N211">
            <v>42582</v>
          </cell>
          <cell r="O211">
            <v>7</v>
          </cell>
          <cell r="P211" t="str">
            <v>x</v>
          </cell>
          <cell r="Q211" t="str">
            <v>Wohnraumeinbruch</v>
          </cell>
          <cell r="R211">
            <v>0</v>
          </cell>
        </row>
        <row r="212">
          <cell r="B212" t="str">
            <v>16-07-8328</v>
          </cell>
          <cell r="C212">
            <v>3</v>
          </cell>
          <cell r="D212" t="str">
            <v>CUG</v>
          </cell>
          <cell r="E212">
            <v>42551</v>
          </cell>
          <cell r="F212" t="str">
            <v>Dir 3</v>
          </cell>
          <cell r="G212">
            <v>0</v>
          </cell>
          <cell r="H212">
            <v>0</v>
          </cell>
          <cell r="I212" t="str">
            <v>x</v>
          </cell>
          <cell r="J212">
            <v>0</v>
          </cell>
          <cell r="K212">
            <v>0</v>
          </cell>
          <cell r="L212">
            <v>0</v>
          </cell>
          <cell r="M212">
            <v>42552</v>
          </cell>
          <cell r="N212">
            <v>42582</v>
          </cell>
          <cell r="O212">
            <v>7</v>
          </cell>
          <cell r="P212" t="str">
            <v>x</v>
          </cell>
          <cell r="Q212" t="str">
            <v>Brennpunkt A 36</v>
          </cell>
          <cell r="R212">
            <v>0</v>
          </cell>
        </row>
        <row r="213">
          <cell r="B213" t="str">
            <v>16-07-8329</v>
          </cell>
          <cell r="C213">
            <v>3</v>
          </cell>
          <cell r="D213" t="str">
            <v>CUG</v>
          </cell>
          <cell r="E213">
            <v>42551</v>
          </cell>
          <cell r="F213" t="str">
            <v>Dir 3</v>
          </cell>
          <cell r="G213">
            <v>0</v>
          </cell>
          <cell r="H213">
            <v>0</v>
          </cell>
          <cell r="I213" t="str">
            <v>x</v>
          </cell>
          <cell r="J213">
            <v>0</v>
          </cell>
          <cell r="K213">
            <v>0</v>
          </cell>
          <cell r="L213">
            <v>0</v>
          </cell>
          <cell r="M213">
            <v>42552</v>
          </cell>
          <cell r="N213">
            <v>42582</v>
          </cell>
          <cell r="O213">
            <v>7</v>
          </cell>
          <cell r="P213" t="str">
            <v>x</v>
          </cell>
          <cell r="Q213" t="str">
            <v>kbO Leopoldplatz</v>
          </cell>
          <cell r="R213">
            <v>0</v>
          </cell>
        </row>
        <row r="214">
          <cell r="B214" t="str">
            <v>16-07-8330</v>
          </cell>
          <cell r="C214">
            <v>3</v>
          </cell>
          <cell r="D214" t="str">
            <v>CUG</v>
          </cell>
          <cell r="E214">
            <v>42551</v>
          </cell>
          <cell r="F214" t="str">
            <v>Dir 4</v>
          </cell>
          <cell r="G214">
            <v>0</v>
          </cell>
          <cell r="H214">
            <v>0</v>
          </cell>
          <cell r="I214">
            <v>0</v>
          </cell>
          <cell r="J214" t="str">
            <v>x</v>
          </cell>
          <cell r="K214">
            <v>0</v>
          </cell>
          <cell r="L214">
            <v>0</v>
          </cell>
          <cell r="M214">
            <v>42552</v>
          </cell>
          <cell r="N214">
            <v>42582</v>
          </cell>
          <cell r="O214">
            <v>7</v>
          </cell>
          <cell r="P214" t="str">
            <v>x</v>
          </cell>
          <cell r="Q214" t="str">
            <v>Schlachtensee/Krumme Lanke</v>
          </cell>
          <cell r="R214">
            <v>0</v>
          </cell>
        </row>
        <row r="215">
          <cell r="B215" t="str">
            <v>16-07-8331</v>
          </cell>
          <cell r="C215">
            <v>3</v>
          </cell>
          <cell r="D215" t="str">
            <v>CUG</v>
          </cell>
          <cell r="E215">
            <v>42551</v>
          </cell>
          <cell r="F215" t="str">
            <v>Dir 5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 t="str">
            <v>x</v>
          </cell>
          <cell r="L215">
            <v>0</v>
          </cell>
          <cell r="M215">
            <v>42552</v>
          </cell>
          <cell r="N215">
            <v>42582</v>
          </cell>
          <cell r="O215">
            <v>7</v>
          </cell>
          <cell r="P215" t="str">
            <v>x</v>
          </cell>
          <cell r="Q215" t="str">
            <v>kbO Hermannplatz</v>
          </cell>
          <cell r="R215">
            <v>0</v>
          </cell>
        </row>
        <row r="216">
          <cell r="B216" t="str">
            <v>16-07-8432</v>
          </cell>
          <cell r="C216">
            <v>4</v>
          </cell>
          <cell r="D216" t="str">
            <v>CUG</v>
          </cell>
          <cell r="E216">
            <v>42551</v>
          </cell>
          <cell r="F216" t="str">
            <v>LKA St 12</v>
          </cell>
          <cell r="G216">
            <v>0</v>
          </cell>
          <cell r="H216" t="str">
            <v>x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42552</v>
          </cell>
          <cell r="N216">
            <v>42582</v>
          </cell>
          <cell r="O216">
            <v>7</v>
          </cell>
          <cell r="P216">
            <v>0</v>
          </cell>
          <cell r="Q216" t="str">
            <v>Taschendiebstahl A 25</v>
          </cell>
          <cell r="R216" t="str">
            <v>Schirmkonzeption</v>
          </cell>
        </row>
        <row r="217">
          <cell r="B217" t="str">
            <v>16-07-8433</v>
          </cell>
          <cell r="C217">
            <v>4</v>
          </cell>
          <cell r="D217" t="str">
            <v>CUG</v>
          </cell>
          <cell r="E217">
            <v>42551</v>
          </cell>
          <cell r="F217" t="str">
            <v>LKA St 12</v>
          </cell>
          <cell r="G217">
            <v>0</v>
          </cell>
          <cell r="H217" t="str">
            <v>x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42552</v>
          </cell>
          <cell r="N217">
            <v>42582</v>
          </cell>
          <cell r="O217">
            <v>7</v>
          </cell>
          <cell r="P217">
            <v>0</v>
          </cell>
          <cell r="Q217" t="str">
            <v>Fahrraddiebstahl A 26</v>
          </cell>
          <cell r="R217" t="str">
            <v>Schirmkonzeption</v>
          </cell>
        </row>
        <row r="218">
          <cell r="B218" t="str">
            <v>16-07-8434</v>
          </cell>
          <cell r="C218">
            <v>4</v>
          </cell>
          <cell r="D218" t="str">
            <v>CUG</v>
          </cell>
          <cell r="E218">
            <v>42551</v>
          </cell>
          <cell r="F218" t="str">
            <v>LKA St 12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 t="str">
            <v>x</v>
          </cell>
          <cell r="M218">
            <v>42552</v>
          </cell>
          <cell r="N218">
            <v>42582</v>
          </cell>
          <cell r="O218">
            <v>7</v>
          </cell>
          <cell r="P218">
            <v>0</v>
          </cell>
          <cell r="Q218" t="str">
            <v>Fahrraddiebstahl A 65</v>
          </cell>
          <cell r="R218" t="str">
            <v>Schirmkonzeption</v>
          </cell>
        </row>
        <row r="219">
          <cell r="B219" t="str">
            <v>16-07-8435</v>
          </cell>
          <cell r="C219">
            <v>4</v>
          </cell>
          <cell r="D219" t="str">
            <v>CUG</v>
          </cell>
          <cell r="E219">
            <v>42551</v>
          </cell>
          <cell r="F219" t="str">
            <v>LKA St 12</v>
          </cell>
          <cell r="G219">
            <v>0</v>
          </cell>
          <cell r="H219">
            <v>0</v>
          </cell>
          <cell r="I219" t="str">
            <v>x</v>
          </cell>
          <cell r="J219">
            <v>0</v>
          </cell>
          <cell r="K219">
            <v>0</v>
          </cell>
          <cell r="L219">
            <v>0</v>
          </cell>
          <cell r="M219">
            <v>42552</v>
          </cell>
          <cell r="N219">
            <v>42582</v>
          </cell>
          <cell r="O219">
            <v>7</v>
          </cell>
          <cell r="P219">
            <v>0</v>
          </cell>
          <cell r="Q219" t="str">
            <v>Taschendiebstahl Dir 3</v>
          </cell>
          <cell r="R219" t="str">
            <v>Schirmkonzeption</v>
          </cell>
        </row>
        <row r="220">
          <cell r="B220" t="str">
            <v>16-07-8436</v>
          </cell>
          <cell r="C220">
            <v>4</v>
          </cell>
          <cell r="D220" t="str">
            <v>CUG</v>
          </cell>
          <cell r="E220">
            <v>42551</v>
          </cell>
          <cell r="F220" t="str">
            <v>LKA St 12</v>
          </cell>
          <cell r="G220">
            <v>0</v>
          </cell>
          <cell r="H220">
            <v>0</v>
          </cell>
          <cell r="I220" t="str">
            <v>x</v>
          </cell>
          <cell r="J220">
            <v>0</v>
          </cell>
          <cell r="K220">
            <v>0</v>
          </cell>
          <cell r="L220">
            <v>0</v>
          </cell>
          <cell r="M220">
            <v>42552</v>
          </cell>
          <cell r="N220">
            <v>42582</v>
          </cell>
          <cell r="O220">
            <v>7</v>
          </cell>
          <cell r="P220">
            <v>0</v>
          </cell>
          <cell r="Q220" t="str">
            <v>Fahrraddiebstahl A 31</v>
          </cell>
          <cell r="R220" t="str">
            <v>Schirmkonzeption</v>
          </cell>
        </row>
        <row r="221">
          <cell r="B221" t="str">
            <v>16-07-8437</v>
          </cell>
          <cell r="C221">
            <v>4</v>
          </cell>
          <cell r="D221" t="str">
            <v>CUG</v>
          </cell>
          <cell r="E221">
            <v>42551</v>
          </cell>
          <cell r="F221" t="str">
            <v>LKA St 12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 t="str">
            <v>x</v>
          </cell>
          <cell r="L221">
            <v>0</v>
          </cell>
          <cell r="M221">
            <v>42552</v>
          </cell>
          <cell r="N221">
            <v>42582</v>
          </cell>
          <cell r="O221">
            <v>7</v>
          </cell>
          <cell r="P221">
            <v>0</v>
          </cell>
          <cell r="Q221" t="str">
            <v>Kellereinbruch A 54</v>
          </cell>
          <cell r="R221" t="str">
            <v>Schirmkonzeption</v>
          </cell>
        </row>
        <row r="222">
          <cell r="B222" t="str">
            <v>16-07-8438</v>
          </cell>
          <cell r="C222">
            <v>4</v>
          </cell>
          <cell r="D222" t="str">
            <v>CUG</v>
          </cell>
          <cell r="E222">
            <v>42551</v>
          </cell>
          <cell r="F222" t="str">
            <v>LKA 26</v>
          </cell>
          <cell r="G222" t="str">
            <v>x</v>
          </cell>
          <cell r="H222" t="str">
            <v>x</v>
          </cell>
          <cell r="I222" t="str">
            <v>x</v>
          </cell>
          <cell r="J222" t="str">
            <v>x</v>
          </cell>
          <cell r="K222" t="str">
            <v>x</v>
          </cell>
          <cell r="L222" t="str">
            <v>x</v>
          </cell>
          <cell r="M222">
            <v>42552</v>
          </cell>
          <cell r="N222">
            <v>42582</v>
          </cell>
          <cell r="O222">
            <v>7</v>
          </cell>
          <cell r="P222">
            <v>0</v>
          </cell>
          <cell r="Q222" t="str">
            <v>Antänzer</v>
          </cell>
          <cell r="R222" t="str">
            <v>direktionsübergreifend (1 - 6)</v>
          </cell>
        </row>
        <row r="223">
          <cell r="B223" t="str">
            <v>16-07-8439</v>
          </cell>
          <cell r="C223">
            <v>4</v>
          </cell>
          <cell r="D223" t="str">
            <v>CUG</v>
          </cell>
          <cell r="E223">
            <v>42551</v>
          </cell>
          <cell r="F223" t="str">
            <v>Dir 1</v>
          </cell>
          <cell r="G223" t="str">
            <v>x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42552</v>
          </cell>
          <cell r="N223">
            <v>42582</v>
          </cell>
          <cell r="O223">
            <v>7</v>
          </cell>
          <cell r="P223" t="str">
            <v>x</v>
          </cell>
          <cell r="Q223" t="str">
            <v>KfZ - Diebstahl</v>
          </cell>
          <cell r="R223">
            <v>0</v>
          </cell>
        </row>
        <row r="224">
          <cell r="B224" t="str">
            <v>16-07-8440</v>
          </cell>
          <cell r="C224">
            <v>4</v>
          </cell>
          <cell r="D224" t="str">
            <v>CUG</v>
          </cell>
          <cell r="E224">
            <v>42551</v>
          </cell>
          <cell r="F224" t="str">
            <v>Dir 2</v>
          </cell>
          <cell r="G224">
            <v>0</v>
          </cell>
          <cell r="H224" t="str">
            <v>x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42552</v>
          </cell>
          <cell r="N224">
            <v>42582</v>
          </cell>
          <cell r="O224">
            <v>7</v>
          </cell>
          <cell r="P224" t="str">
            <v>x</v>
          </cell>
          <cell r="Q224" t="str">
            <v>Altstadt Spandau</v>
          </cell>
          <cell r="R224">
            <v>0</v>
          </cell>
        </row>
        <row r="225">
          <cell r="B225" t="str">
            <v>16-07-8441</v>
          </cell>
          <cell r="C225">
            <v>4</v>
          </cell>
          <cell r="D225" t="str">
            <v>CUG</v>
          </cell>
          <cell r="E225">
            <v>42551</v>
          </cell>
          <cell r="F225" t="str">
            <v>Dir 2</v>
          </cell>
          <cell r="G225">
            <v>0</v>
          </cell>
          <cell r="H225" t="str">
            <v>x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42552</v>
          </cell>
          <cell r="N225">
            <v>42582</v>
          </cell>
          <cell r="O225">
            <v>7</v>
          </cell>
          <cell r="P225" t="str">
            <v>x</v>
          </cell>
          <cell r="Q225" t="str">
            <v>kbO Stuttgarter Platz</v>
          </cell>
          <cell r="R225">
            <v>0</v>
          </cell>
        </row>
        <row r="226">
          <cell r="B226" t="str">
            <v>16-07-8442</v>
          </cell>
          <cell r="C226">
            <v>4</v>
          </cell>
          <cell r="D226" t="str">
            <v>CUG</v>
          </cell>
          <cell r="E226">
            <v>42551</v>
          </cell>
          <cell r="F226" t="str">
            <v>Dir 2</v>
          </cell>
          <cell r="G226">
            <v>0</v>
          </cell>
          <cell r="H226" t="str">
            <v>x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42552</v>
          </cell>
          <cell r="N226">
            <v>42582</v>
          </cell>
          <cell r="O226">
            <v>7</v>
          </cell>
          <cell r="P226" t="str">
            <v>x</v>
          </cell>
          <cell r="Q226" t="str">
            <v>ZOB/ Kaiserdamm</v>
          </cell>
          <cell r="R226">
            <v>0</v>
          </cell>
        </row>
        <row r="227">
          <cell r="B227" t="str">
            <v>16-07-8443</v>
          </cell>
          <cell r="C227">
            <v>4</v>
          </cell>
          <cell r="D227" t="str">
            <v>CUG</v>
          </cell>
          <cell r="E227">
            <v>42551</v>
          </cell>
          <cell r="F227" t="str">
            <v>Dir 2</v>
          </cell>
          <cell r="G227">
            <v>0</v>
          </cell>
          <cell r="H227" t="str">
            <v>x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42552</v>
          </cell>
          <cell r="N227">
            <v>42582</v>
          </cell>
          <cell r="O227">
            <v>7</v>
          </cell>
          <cell r="P227" t="str">
            <v>x</v>
          </cell>
          <cell r="Q227" t="str">
            <v>Preußenpark</v>
          </cell>
          <cell r="R227">
            <v>0</v>
          </cell>
        </row>
        <row r="228">
          <cell r="B228" t="str">
            <v>16-07-8444</v>
          </cell>
          <cell r="C228">
            <v>4</v>
          </cell>
          <cell r="D228" t="str">
            <v>CUG</v>
          </cell>
          <cell r="E228">
            <v>42551</v>
          </cell>
          <cell r="F228" t="str">
            <v>Dir 2</v>
          </cell>
          <cell r="G228">
            <v>0</v>
          </cell>
          <cell r="H228" t="str">
            <v>x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42552</v>
          </cell>
          <cell r="N228">
            <v>42582</v>
          </cell>
          <cell r="O228">
            <v>7</v>
          </cell>
          <cell r="P228" t="str">
            <v>x</v>
          </cell>
          <cell r="Q228" t="str">
            <v>U-Bhf. Bismarckstr.</v>
          </cell>
          <cell r="R228">
            <v>0</v>
          </cell>
        </row>
        <row r="229">
          <cell r="B229" t="str">
            <v>16-07-8445</v>
          </cell>
          <cell r="C229">
            <v>4</v>
          </cell>
          <cell r="D229" t="str">
            <v>CUG</v>
          </cell>
          <cell r="E229">
            <v>42551</v>
          </cell>
          <cell r="F229" t="str">
            <v>Dir 2</v>
          </cell>
          <cell r="G229">
            <v>0</v>
          </cell>
          <cell r="H229" t="str">
            <v>x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42552</v>
          </cell>
          <cell r="N229">
            <v>42582</v>
          </cell>
          <cell r="O229">
            <v>7</v>
          </cell>
          <cell r="P229" t="str">
            <v>x</v>
          </cell>
          <cell r="Q229" t="str">
            <v>U-Bhf. Adenauer Platz</v>
          </cell>
          <cell r="R229">
            <v>0</v>
          </cell>
        </row>
        <row r="230">
          <cell r="B230" t="str">
            <v>16-07-8446</v>
          </cell>
          <cell r="C230">
            <v>4</v>
          </cell>
          <cell r="D230" t="str">
            <v>CUG</v>
          </cell>
          <cell r="E230">
            <v>42551</v>
          </cell>
          <cell r="F230" t="str">
            <v>Dir 2</v>
          </cell>
          <cell r="G230">
            <v>0</v>
          </cell>
          <cell r="H230" t="str">
            <v>x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42552</v>
          </cell>
          <cell r="N230">
            <v>42582</v>
          </cell>
          <cell r="O230">
            <v>7</v>
          </cell>
          <cell r="P230" t="str">
            <v>x</v>
          </cell>
          <cell r="Q230" t="str">
            <v>Volkspark Wilmersdorf</v>
          </cell>
          <cell r="R230">
            <v>0</v>
          </cell>
        </row>
        <row r="231">
          <cell r="B231" t="str">
            <v>16-07-8447</v>
          </cell>
          <cell r="C231">
            <v>4</v>
          </cell>
          <cell r="D231" t="str">
            <v>CUG</v>
          </cell>
          <cell r="E231">
            <v>42551</v>
          </cell>
          <cell r="F231" t="str">
            <v>Dir 2</v>
          </cell>
          <cell r="G231">
            <v>0</v>
          </cell>
          <cell r="H231" t="str">
            <v>x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42552</v>
          </cell>
          <cell r="N231">
            <v>42582</v>
          </cell>
          <cell r="O231">
            <v>7</v>
          </cell>
          <cell r="P231" t="str">
            <v>x</v>
          </cell>
          <cell r="Q231" t="str">
            <v>Hütchenspiel</v>
          </cell>
          <cell r="R231" t="str">
            <v>direktionsübergreifend (2, 3)</v>
          </cell>
        </row>
        <row r="232">
          <cell r="B232" t="str">
            <v>16-07-8448</v>
          </cell>
          <cell r="C232">
            <v>4</v>
          </cell>
          <cell r="D232" t="str">
            <v>CUG</v>
          </cell>
          <cell r="E232">
            <v>42551</v>
          </cell>
          <cell r="F232" t="str">
            <v>Dir 3</v>
          </cell>
          <cell r="G232">
            <v>0</v>
          </cell>
          <cell r="H232">
            <v>0</v>
          </cell>
          <cell r="I232" t="str">
            <v>x</v>
          </cell>
          <cell r="J232">
            <v>0</v>
          </cell>
          <cell r="K232">
            <v>0</v>
          </cell>
          <cell r="L232">
            <v>0</v>
          </cell>
          <cell r="M232">
            <v>42552</v>
          </cell>
          <cell r="N232">
            <v>42582</v>
          </cell>
          <cell r="O232">
            <v>7</v>
          </cell>
          <cell r="P232" t="str">
            <v>x</v>
          </cell>
          <cell r="Q232" t="str">
            <v>kbO Leopoldplatz</v>
          </cell>
          <cell r="R232">
            <v>0</v>
          </cell>
        </row>
        <row r="233">
          <cell r="B233" t="str">
            <v>16-07-8449</v>
          </cell>
          <cell r="C233">
            <v>4</v>
          </cell>
          <cell r="D233" t="str">
            <v>CUG</v>
          </cell>
          <cell r="E233">
            <v>42551</v>
          </cell>
          <cell r="F233" t="str">
            <v>Dir 3</v>
          </cell>
          <cell r="G233">
            <v>0</v>
          </cell>
          <cell r="H233">
            <v>0</v>
          </cell>
          <cell r="I233" t="str">
            <v>x</v>
          </cell>
          <cell r="J233">
            <v>0</v>
          </cell>
          <cell r="K233">
            <v>0</v>
          </cell>
          <cell r="L233">
            <v>0</v>
          </cell>
          <cell r="M233">
            <v>42552</v>
          </cell>
          <cell r="N233">
            <v>42582</v>
          </cell>
          <cell r="O233">
            <v>7</v>
          </cell>
          <cell r="P233" t="str">
            <v>x</v>
          </cell>
          <cell r="Q233" t="str">
            <v>Tiergarten Süd</v>
          </cell>
          <cell r="R233">
            <v>0</v>
          </cell>
        </row>
        <row r="234">
          <cell r="B234" t="str">
            <v>16-07-8450</v>
          </cell>
          <cell r="C234">
            <v>4</v>
          </cell>
          <cell r="D234" t="str">
            <v>CUG</v>
          </cell>
          <cell r="E234">
            <v>42551</v>
          </cell>
          <cell r="F234" t="str">
            <v>Dir 3</v>
          </cell>
          <cell r="G234">
            <v>0</v>
          </cell>
          <cell r="H234">
            <v>0</v>
          </cell>
          <cell r="I234" t="str">
            <v>x</v>
          </cell>
          <cell r="J234">
            <v>0</v>
          </cell>
          <cell r="K234">
            <v>0</v>
          </cell>
          <cell r="L234">
            <v>0</v>
          </cell>
          <cell r="M234">
            <v>42552</v>
          </cell>
          <cell r="N234">
            <v>42582</v>
          </cell>
          <cell r="O234">
            <v>7</v>
          </cell>
          <cell r="P234" t="str">
            <v>x</v>
          </cell>
          <cell r="Q234" t="str">
            <v>Hütchenspiel</v>
          </cell>
          <cell r="R234" t="str">
            <v>direktionsübergreifend (2, 3)</v>
          </cell>
        </row>
        <row r="235">
          <cell r="B235" t="str">
            <v>16-07-8451</v>
          </cell>
          <cell r="C235">
            <v>4</v>
          </cell>
          <cell r="D235" t="str">
            <v>CUG</v>
          </cell>
          <cell r="E235">
            <v>42551</v>
          </cell>
          <cell r="F235" t="str">
            <v>Dir 4</v>
          </cell>
          <cell r="G235">
            <v>0</v>
          </cell>
          <cell r="H235">
            <v>0</v>
          </cell>
          <cell r="I235">
            <v>0</v>
          </cell>
          <cell r="J235" t="str">
            <v>x</v>
          </cell>
          <cell r="K235">
            <v>0</v>
          </cell>
          <cell r="L235">
            <v>0</v>
          </cell>
          <cell r="M235">
            <v>42552</v>
          </cell>
          <cell r="N235">
            <v>42582</v>
          </cell>
          <cell r="O235">
            <v>7</v>
          </cell>
          <cell r="P235" t="str">
            <v>x</v>
          </cell>
          <cell r="Q235" t="str">
            <v>Lokalkontrollen Schöneberg-Nord</v>
          </cell>
          <cell r="R235">
            <v>0</v>
          </cell>
        </row>
        <row r="236">
          <cell r="B236" t="str">
            <v>16-07-8452</v>
          </cell>
          <cell r="C236">
            <v>4</v>
          </cell>
          <cell r="D236" t="str">
            <v>CUG</v>
          </cell>
          <cell r="E236">
            <v>42551</v>
          </cell>
          <cell r="F236" t="str">
            <v>Dir 4</v>
          </cell>
          <cell r="G236">
            <v>0</v>
          </cell>
          <cell r="H236">
            <v>0</v>
          </cell>
          <cell r="I236">
            <v>0</v>
          </cell>
          <cell r="J236" t="str">
            <v>x</v>
          </cell>
          <cell r="K236">
            <v>0</v>
          </cell>
          <cell r="L236">
            <v>0</v>
          </cell>
          <cell r="M236">
            <v>42552</v>
          </cell>
          <cell r="N236">
            <v>42582</v>
          </cell>
          <cell r="O236">
            <v>7</v>
          </cell>
          <cell r="P236" t="str">
            <v>x</v>
          </cell>
          <cell r="Q236" t="str">
            <v>Schlachtensee/Krumme Lanke</v>
          </cell>
          <cell r="R236">
            <v>0</v>
          </cell>
        </row>
        <row r="237">
          <cell r="B237" t="str">
            <v>16-07-8453</v>
          </cell>
          <cell r="C237">
            <v>4</v>
          </cell>
          <cell r="D237" t="str">
            <v>CUG</v>
          </cell>
          <cell r="E237">
            <v>42551</v>
          </cell>
          <cell r="F237" t="str">
            <v>Dir 5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 t="str">
            <v>x</v>
          </cell>
          <cell r="L237">
            <v>0</v>
          </cell>
          <cell r="M237">
            <v>42552</v>
          </cell>
          <cell r="N237">
            <v>42582</v>
          </cell>
          <cell r="O237">
            <v>7</v>
          </cell>
          <cell r="P237" t="str">
            <v>x</v>
          </cell>
          <cell r="Q237" t="str">
            <v>kbO Hermannstr.</v>
          </cell>
          <cell r="R237">
            <v>0</v>
          </cell>
        </row>
        <row r="238">
          <cell r="B238" t="str">
            <v>16-07-8454</v>
          </cell>
          <cell r="C238">
            <v>4</v>
          </cell>
          <cell r="D238" t="str">
            <v>CUG</v>
          </cell>
          <cell r="E238">
            <v>42551</v>
          </cell>
          <cell r="F238" t="str">
            <v>Dir 6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 t="str">
            <v>x</v>
          </cell>
          <cell r="M238">
            <v>42552</v>
          </cell>
          <cell r="N238">
            <v>42582</v>
          </cell>
          <cell r="O238">
            <v>7</v>
          </cell>
          <cell r="P238" t="str">
            <v>x</v>
          </cell>
          <cell r="Q238" t="str">
            <v>KfZ - Diebstahl</v>
          </cell>
          <cell r="R238">
            <v>0</v>
          </cell>
        </row>
        <row r="239">
          <cell r="B239" t="str">
            <v>16-07-8455</v>
          </cell>
          <cell r="C239">
            <v>4</v>
          </cell>
          <cell r="D239" t="str">
            <v>CUG</v>
          </cell>
          <cell r="E239">
            <v>42551</v>
          </cell>
          <cell r="F239" t="str">
            <v>Dir 6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 t="str">
            <v>x</v>
          </cell>
          <cell r="M239">
            <v>42552</v>
          </cell>
          <cell r="N239">
            <v>42582</v>
          </cell>
          <cell r="O239">
            <v>7</v>
          </cell>
          <cell r="P239" t="str">
            <v>x</v>
          </cell>
          <cell r="Q239" t="str">
            <v>BtM-Kriminalität</v>
          </cell>
          <cell r="R239">
            <v>0</v>
          </cell>
        </row>
        <row r="240">
          <cell r="B240" t="str">
            <v>16-08-8201</v>
          </cell>
          <cell r="C240">
            <v>2</v>
          </cell>
          <cell r="D240" t="str">
            <v>Transfer</v>
          </cell>
          <cell r="E240">
            <v>42580</v>
          </cell>
          <cell r="F240" t="str">
            <v>Dir 2</v>
          </cell>
          <cell r="G240">
            <v>0</v>
          </cell>
          <cell r="H240" t="str">
            <v>x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42583</v>
          </cell>
          <cell r="N240">
            <v>42613</v>
          </cell>
          <cell r="O240">
            <v>8</v>
          </cell>
          <cell r="P240">
            <v>0</v>
          </cell>
          <cell r="Q240" t="str">
            <v>Focus City West</v>
          </cell>
          <cell r="R240">
            <v>0</v>
          </cell>
        </row>
        <row r="241">
          <cell r="B241" t="str">
            <v>16-08-8202</v>
          </cell>
          <cell r="C241">
            <v>2</v>
          </cell>
          <cell r="D241" t="str">
            <v>Transfer</v>
          </cell>
          <cell r="E241">
            <v>42580</v>
          </cell>
          <cell r="F241" t="str">
            <v>Dir 2</v>
          </cell>
          <cell r="G241">
            <v>0</v>
          </cell>
          <cell r="H241" t="str">
            <v>x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42583</v>
          </cell>
          <cell r="N241">
            <v>42613</v>
          </cell>
          <cell r="O241">
            <v>8</v>
          </cell>
          <cell r="P241">
            <v>0</v>
          </cell>
          <cell r="Q241" t="str">
            <v>Hütchenspiel</v>
          </cell>
          <cell r="R241" t="str">
            <v>direktionsübergreifend (2, 3)</v>
          </cell>
        </row>
        <row r="242">
          <cell r="B242" t="str">
            <v>16-08-8203</v>
          </cell>
          <cell r="C242">
            <v>2</v>
          </cell>
          <cell r="D242" t="str">
            <v>Transfer</v>
          </cell>
          <cell r="E242">
            <v>42580</v>
          </cell>
          <cell r="F242" t="str">
            <v>Dir 3</v>
          </cell>
          <cell r="G242">
            <v>0</v>
          </cell>
          <cell r="H242">
            <v>0</v>
          </cell>
          <cell r="I242" t="str">
            <v>x</v>
          </cell>
          <cell r="J242">
            <v>0</v>
          </cell>
          <cell r="K242">
            <v>0</v>
          </cell>
          <cell r="L242">
            <v>0</v>
          </cell>
          <cell r="M242">
            <v>42583</v>
          </cell>
          <cell r="N242">
            <v>42613</v>
          </cell>
          <cell r="O242">
            <v>8</v>
          </cell>
          <cell r="P242">
            <v>0</v>
          </cell>
          <cell r="Q242" t="str">
            <v>Sichere Mitte</v>
          </cell>
          <cell r="R242">
            <v>0</v>
          </cell>
        </row>
        <row r="243">
          <cell r="B243" t="str">
            <v>16-08-8204</v>
          </cell>
          <cell r="C243">
            <v>2</v>
          </cell>
          <cell r="D243" t="str">
            <v>Transfer</v>
          </cell>
          <cell r="E243">
            <v>42580</v>
          </cell>
          <cell r="F243" t="str">
            <v>Dir 3</v>
          </cell>
          <cell r="G243">
            <v>0</v>
          </cell>
          <cell r="H243">
            <v>0</v>
          </cell>
          <cell r="I243" t="str">
            <v>x</v>
          </cell>
          <cell r="J243">
            <v>0</v>
          </cell>
          <cell r="K243">
            <v>0</v>
          </cell>
          <cell r="L243">
            <v>0</v>
          </cell>
          <cell r="M243">
            <v>42583</v>
          </cell>
          <cell r="N243">
            <v>42613</v>
          </cell>
          <cell r="O243">
            <v>8</v>
          </cell>
          <cell r="P243">
            <v>0</v>
          </cell>
          <cell r="Q243" t="str">
            <v>kbO Kleiner Tiergarten</v>
          </cell>
          <cell r="R243">
            <v>0</v>
          </cell>
        </row>
        <row r="244">
          <cell r="B244" t="str">
            <v>16-08-8205</v>
          </cell>
          <cell r="C244">
            <v>2</v>
          </cell>
          <cell r="D244" t="str">
            <v>Transfer</v>
          </cell>
          <cell r="E244">
            <v>42580</v>
          </cell>
          <cell r="F244" t="str">
            <v>Dir 5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 t="str">
            <v>x</v>
          </cell>
          <cell r="L244">
            <v>0</v>
          </cell>
          <cell r="M244">
            <v>42583</v>
          </cell>
          <cell r="N244">
            <v>42613</v>
          </cell>
          <cell r="O244">
            <v>8</v>
          </cell>
          <cell r="P244">
            <v>0</v>
          </cell>
          <cell r="Q244" t="str">
            <v>kbO Warschauer Brücke - Kottbusser Tor</v>
          </cell>
          <cell r="R244">
            <v>0</v>
          </cell>
        </row>
        <row r="245">
          <cell r="B245" t="str">
            <v>16-08-8206</v>
          </cell>
          <cell r="C245">
            <v>2</v>
          </cell>
          <cell r="D245" t="str">
            <v>Transfer</v>
          </cell>
          <cell r="E245">
            <v>42580</v>
          </cell>
          <cell r="F245" t="str">
            <v>Dir 5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 t="str">
            <v>x</v>
          </cell>
          <cell r="L245">
            <v>0</v>
          </cell>
          <cell r="M245">
            <v>42583</v>
          </cell>
          <cell r="N245">
            <v>42613</v>
          </cell>
          <cell r="O245">
            <v>8</v>
          </cell>
          <cell r="P245">
            <v>0</v>
          </cell>
          <cell r="Q245" t="str">
            <v>kbO Kottbusser Tor</v>
          </cell>
          <cell r="R245">
            <v>0</v>
          </cell>
        </row>
        <row r="246">
          <cell r="B246" t="str">
            <v>16-08-8207</v>
          </cell>
          <cell r="C246">
            <v>2</v>
          </cell>
          <cell r="D246" t="str">
            <v>Transfer</v>
          </cell>
          <cell r="E246">
            <v>42580</v>
          </cell>
          <cell r="F246" t="str">
            <v>Dir 5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 t="str">
            <v>x</v>
          </cell>
          <cell r="L246">
            <v>0</v>
          </cell>
          <cell r="M246">
            <v>42583</v>
          </cell>
          <cell r="N246">
            <v>42613</v>
          </cell>
          <cell r="O246">
            <v>8</v>
          </cell>
          <cell r="P246">
            <v>0</v>
          </cell>
          <cell r="Q246" t="str">
            <v>kbO Warschauer Brücke</v>
          </cell>
          <cell r="R246">
            <v>0</v>
          </cell>
        </row>
        <row r="247">
          <cell r="B247" t="str">
            <v>16-08-8208</v>
          </cell>
          <cell r="C247">
            <v>2</v>
          </cell>
          <cell r="D247" t="str">
            <v>Transfer</v>
          </cell>
          <cell r="E247">
            <v>42580</v>
          </cell>
          <cell r="F247" t="str">
            <v>Dir 5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 t="str">
            <v>x</v>
          </cell>
          <cell r="L247">
            <v>0</v>
          </cell>
          <cell r="M247">
            <v>42583</v>
          </cell>
          <cell r="N247">
            <v>42613</v>
          </cell>
          <cell r="O247">
            <v>8</v>
          </cell>
          <cell r="P247">
            <v>0</v>
          </cell>
          <cell r="Q247" t="str">
            <v>kbO Görlitzer Park</v>
          </cell>
          <cell r="R247">
            <v>0</v>
          </cell>
        </row>
        <row r="248">
          <cell r="B248" t="str">
            <v>16-08-8209</v>
          </cell>
          <cell r="C248">
            <v>2</v>
          </cell>
          <cell r="D248" t="str">
            <v>Transfer</v>
          </cell>
          <cell r="E248">
            <v>42580</v>
          </cell>
          <cell r="F248" t="str">
            <v>Dir 5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 t="str">
            <v>x</v>
          </cell>
          <cell r="L248">
            <v>0</v>
          </cell>
          <cell r="M248">
            <v>42583</v>
          </cell>
          <cell r="N248">
            <v>42613</v>
          </cell>
          <cell r="O248">
            <v>8</v>
          </cell>
          <cell r="P248">
            <v>0</v>
          </cell>
          <cell r="Q248" t="str">
            <v>kbO Rigaer Str.</v>
          </cell>
          <cell r="R248">
            <v>0</v>
          </cell>
        </row>
        <row r="249">
          <cell r="B249" t="str">
            <v>16-08-8310</v>
          </cell>
          <cell r="C249">
            <v>3</v>
          </cell>
          <cell r="D249" t="str">
            <v>Transfer</v>
          </cell>
          <cell r="E249">
            <v>42580</v>
          </cell>
          <cell r="F249" t="str">
            <v>LKA 33</v>
          </cell>
          <cell r="G249" t="str">
            <v>x</v>
          </cell>
          <cell r="H249" t="str">
            <v>x</v>
          </cell>
          <cell r="I249" t="str">
            <v>x</v>
          </cell>
          <cell r="J249" t="str">
            <v>x</v>
          </cell>
          <cell r="K249" t="str">
            <v>x</v>
          </cell>
          <cell r="L249" t="str">
            <v>x</v>
          </cell>
          <cell r="M249">
            <v>42583</v>
          </cell>
          <cell r="N249">
            <v>42613</v>
          </cell>
          <cell r="O249">
            <v>8</v>
          </cell>
          <cell r="P249" t="str">
            <v>x</v>
          </cell>
          <cell r="Q249" t="str">
            <v>Glücksspiel</v>
          </cell>
          <cell r="R249" t="str">
            <v>direktionsübergreifend (1 - 6)</v>
          </cell>
        </row>
        <row r="250">
          <cell r="B250" t="str">
            <v>16-08-8311</v>
          </cell>
          <cell r="C250">
            <v>3</v>
          </cell>
          <cell r="D250" t="str">
            <v>Transfer</v>
          </cell>
          <cell r="E250">
            <v>42580</v>
          </cell>
          <cell r="F250" t="str">
            <v>LKA St 12</v>
          </cell>
          <cell r="G250" t="str">
            <v>x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42583</v>
          </cell>
          <cell r="N250">
            <v>42613</v>
          </cell>
          <cell r="O250">
            <v>8</v>
          </cell>
          <cell r="P250">
            <v>0</v>
          </cell>
          <cell r="Q250" t="str">
            <v>Fahrraddiebstahl A 12</v>
          </cell>
          <cell r="R250" t="str">
            <v>Schirmkonzeption</v>
          </cell>
        </row>
        <row r="251">
          <cell r="B251" t="str">
            <v>16-08-8312</v>
          </cell>
          <cell r="C251">
            <v>3</v>
          </cell>
          <cell r="D251" t="str">
            <v>Transfer</v>
          </cell>
          <cell r="E251">
            <v>42580</v>
          </cell>
          <cell r="F251" t="str">
            <v xml:space="preserve">Dir 1 </v>
          </cell>
          <cell r="G251" t="str">
            <v>x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42583</v>
          </cell>
          <cell r="N251">
            <v>42613</v>
          </cell>
          <cell r="O251">
            <v>8</v>
          </cell>
          <cell r="P251" t="str">
            <v>x</v>
          </cell>
          <cell r="Q251" t="str">
            <v>Badestrände A 11</v>
          </cell>
          <cell r="R251">
            <v>0</v>
          </cell>
        </row>
        <row r="252">
          <cell r="B252" t="str">
            <v>16-08-8313</v>
          </cell>
          <cell r="C252">
            <v>3</v>
          </cell>
          <cell r="D252" t="str">
            <v>Transfer</v>
          </cell>
          <cell r="E252">
            <v>42580</v>
          </cell>
          <cell r="F252" t="str">
            <v>Dir 1</v>
          </cell>
          <cell r="G252" t="str">
            <v>x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42583</v>
          </cell>
          <cell r="N252">
            <v>42613</v>
          </cell>
          <cell r="O252">
            <v>8</v>
          </cell>
          <cell r="P252" t="str">
            <v>x</v>
          </cell>
          <cell r="Q252" t="str">
            <v>Mauerpark</v>
          </cell>
          <cell r="R252">
            <v>0</v>
          </cell>
        </row>
        <row r="253">
          <cell r="B253" t="str">
            <v>16-08-8314</v>
          </cell>
          <cell r="C253">
            <v>3</v>
          </cell>
          <cell r="D253" t="str">
            <v>Transfer</v>
          </cell>
          <cell r="E253">
            <v>42580</v>
          </cell>
          <cell r="F253" t="str">
            <v>Dir 2</v>
          </cell>
          <cell r="G253">
            <v>0</v>
          </cell>
          <cell r="H253" t="str">
            <v>x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42583</v>
          </cell>
          <cell r="N253">
            <v>42613</v>
          </cell>
          <cell r="O253">
            <v>8</v>
          </cell>
          <cell r="P253" t="str">
            <v>x</v>
          </cell>
          <cell r="Q253" t="str">
            <v>kbO Stuttgarter Platz</v>
          </cell>
          <cell r="R253">
            <v>0</v>
          </cell>
        </row>
        <row r="254">
          <cell r="B254" t="str">
            <v>16-08-8315</v>
          </cell>
          <cell r="C254">
            <v>3</v>
          </cell>
          <cell r="D254" t="str">
            <v>Transfer</v>
          </cell>
          <cell r="E254">
            <v>42580</v>
          </cell>
          <cell r="F254" t="str">
            <v>Dir 2</v>
          </cell>
          <cell r="G254">
            <v>0</v>
          </cell>
          <cell r="H254" t="str">
            <v>x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42583</v>
          </cell>
          <cell r="N254">
            <v>42613</v>
          </cell>
          <cell r="O254">
            <v>8</v>
          </cell>
          <cell r="P254" t="str">
            <v>x</v>
          </cell>
          <cell r="Q254" t="str">
            <v>ZOB/ Kaiserdamm</v>
          </cell>
          <cell r="R254">
            <v>0</v>
          </cell>
        </row>
        <row r="255">
          <cell r="B255" t="str">
            <v>16-08-8316</v>
          </cell>
          <cell r="C255">
            <v>3</v>
          </cell>
          <cell r="D255" t="str">
            <v>Transfer</v>
          </cell>
          <cell r="E255">
            <v>42580</v>
          </cell>
          <cell r="F255" t="str">
            <v>LKA St 12</v>
          </cell>
          <cell r="G255">
            <v>0</v>
          </cell>
          <cell r="H255" t="str">
            <v>x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42583</v>
          </cell>
          <cell r="N255">
            <v>42613</v>
          </cell>
          <cell r="O255">
            <v>8</v>
          </cell>
          <cell r="P255">
            <v>0</v>
          </cell>
          <cell r="Q255" t="str">
            <v>Taschendiebstahl A 25</v>
          </cell>
          <cell r="R255" t="str">
            <v>Schirmkonzeption</v>
          </cell>
        </row>
        <row r="256">
          <cell r="B256" t="str">
            <v>16-08-8317</v>
          </cell>
          <cell r="C256">
            <v>3</v>
          </cell>
          <cell r="D256" t="str">
            <v>Transfer</v>
          </cell>
          <cell r="E256">
            <v>42580</v>
          </cell>
          <cell r="F256" t="str">
            <v>Dir 2</v>
          </cell>
          <cell r="G256">
            <v>0</v>
          </cell>
          <cell r="H256" t="str">
            <v>x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42583</v>
          </cell>
          <cell r="N256">
            <v>42613</v>
          </cell>
          <cell r="O256">
            <v>8</v>
          </cell>
          <cell r="P256" t="str">
            <v>x</v>
          </cell>
          <cell r="Q256" t="str">
            <v>Preußenpark</v>
          </cell>
          <cell r="R256">
            <v>0</v>
          </cell>
        </row>
        <row r="257">
          <cell r="B257" t="str">
            <v>16-08-8318</v>
          </cell>
          <cell r="C257">
            <v>3</v>
          </cell>
          <cell r="D257" t="str">
            <v>Transfer</v>
          </cell>
          <cell r="E257">
            <v>42580</v>
          </cell>
          <cell r="F257" t="str">
            <v>LKA St 12</v>
          </cell>
          <cell r="G257">
            <v>0</v>
          </cell>
          <cell r="H257" t="str">
            <v>x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42583</v>
          </cell>
          <cell r="N257">
            <v>42613</v>
          </cell>
          <cell r="O257">
            <v>8</v>
          </cell>
          <cell r="P257">
            <v>0</v>
          </cell>
          <cell r="Q257" t="str">
            <v>Fahrraddiebstahl A 26</v>
          </cell>
          <cell r="R257" t="str">
            <v>Schirmkonzeption</v>
          </cell>
        </row>
        <row r="258">
          <cell r="B258" t="str">
            <v>16-08-8319</v>
          </cell>
          <cell r="C258">
            <v>3</v>
          </cell>
          <cell r="D258" t="str">
            <v>Transfer</v>
          </cell>
          <cell r="E258">
            <v>42580</v>
          </cell>
          <cell r="F258" t="str">
            <v>Dir 3</v>
          </cell>
          <cell r="G258">
            <v>0</v>
          </cell>
          <cell r="H258">
            <v>0</v>
          </cell>
          <cell r="I258" t="str">
            <v>x</v>
          </cell>
          <cell r="J258">
            <v>0</v>
          </cell>
          <cell r="K258">
            <v>0</v>
          </cell>
          <cell r="L258">
            <v>0</v>
          </cell>
          <cell r="M258">
            <v>42583</v>
          </cell>
          <cell r="N258">
            <v>42613</v>
          </cell>
          <cell r="O258">
            <v>8</v>
          </cell>
          <cell r="P258" t="str">
            <v>x</v>
          </cell>
          <cell r="Q258" t="str">
            <v>Wohnraumeinbruch</v>
          </cell>
          <cell r="R258">
            <v>0</v>
          </cell>
        </row>
        <row r="259">
          <cell r="B259" t="str">
            <v>16-08-8320</v>
          </cell>
          <cell r="C259">
            <v>3</v>
          </cell>
          <cell r="D259" t="str">
            <v>Transfer</v>
          </cell>
          <cell r="E259">
            <v>42580</v>
          </cell>
          <cell r="F259" t="str">
            <v>Dir 3</v>
          </cell>
          <cell r="G259">
            <v>0</v>
          </cell>
          <cell r="H259">
            <v>0</v>
          </cell>
          <cell r="I259" t="str">
            <v>x</v>
          </cell>
          <cell r="J259">
            <v>0</v>
          </cell>
          <cell r="K259">
            <v>0</v>
          </cell>
          <cell r="L259">
            <v>0</v>
          </cell>
          <cell r="M259">
            <v>42583</v>
          </cell>
          <cell r="N259">
            <v>42613</v>
          </cell>
          <cell r="O259">
            <v>8</v>
          </cell>
          <cell r="P259" t="str">
            <v>x</v>
          </cell>
          <cell r="Q259" t="str">
            <v>Tiergarten Süd</v>
          </cell>
          <cell r="R259">
            <v>0</v>
          </cell>
        </row>
        <row r="260">
          <cell r="B260" t="str">
            <v>16-08-8321</v>
          </cell>
          <cell r="C260">
            <v>3</v>
          </cell>
          <cell r="D260" t="str">
            <v>Transfer</v>
          </cell>
          <cell r="E260">
            <v>42580</v>
          </cell>
          <cell r="F260" t="str">
            <v>Dir 3</v>
          </cell>
          <cell r="G260">
            <v>0</v>
          </cell>
          <cell r="H260">
            <v>0</v>
          </cell>
          <cell r="I260" t="str">
            <v>x</v>
          </cell>
          <cell r="J260">
            <v>0</v>
          </cell>
          <cell r="K260">
            <v>0</v>
          </cell>
          <cell r="L260">
            <v>0</v>
          </cell>
          <cell r="M260">
            <v>42583</v>
          </cell>
          <cell r="N260">
            <v>42613</v>
          </cell>
          <cell r="O260">
            <v>8</v>
          </cell>
          <cell r="P260" t="str">
            <v>x</v>
          </cell>
          <cell r="Q260" t="str">
            <v>Brennpunkt A 36</v>
          </cell>
          <cell r="R260">
            <v>0</v>
          </cell>
        </row>
        <row r="261">
          <cell r="B261" t="str">
            <v>16-08-8322</v>
          </cell>
          <cell r="C261">
            <v>3</v>
          </cell>
          <cell r="D261" t="str">
            <v>Transfer</v>
          </cell>
          <cell r="E261">
            <v>42580</v>
          </cell>
          <cell r="F261" t="str">
            <v>Dir 3</v>
          </cell>
          <cell r="G261">
            <v>0</v>
          </cell>
          <cell r="H261">
            <v>0</v>
          </cell>
          <cell r="I261" t="str">
            <v>x</v>
          </cell>
          <cell r="J261">
            <v>0</v>
          </cell>
          <cell r="K261">
            <v>0</v>
          </cell>
          <cell r="L261">
            <v>0</v>
          </cell>
          <cell r="M261">
            <v>42583</v>
          </cell>
          <cell r="N261">
            <v>42613</v>
          </cell>
          <cell r="O261">
            <v>8</v>
          </cell>
          <cell r="P261" t="str">
            <v>x</v>
          </cell>
          <cell r="Q261" t="str">
            <v>BSD/EFD aus KfZ</v>
          </cell>
          <cell r="R261">
            <v>0</v>
          </cell>
        </row>
        <row r="262">
          <cell r="B262" t="str">
            <v>16-08-8323</v>
          </cell>
          <cell r="C262">
            <v>3</v>
          </cell>
          <cell r="D262" t="str">
            <v>Transfer</v>
          </cell>
          <cell r="E262">
            <v>42580</v>
          </cell>
          <cell r="F262" t="str">
            <v>Dir 4</v>
          </cell>
          <cell r="G262">
            <v>0</v>
          </cell>
          <cell r="H262">
            <v>0</v>
          </cell>
          <cell r="I262">
            <v>0</v>
          </cell>
          <cell r="J262" t="str">
            <v>x</v>
          </cell>
          <cell r="K262">
            <v>0</v>
          </cell>
          <cell r="L262">
            <v>0</v>
          </cell>
          <cell r="M262">
            <v>42583</v>
          </cell>
          <cell r="N262">
            <v>42613</v>
          </cell>
          <cell r="O262">
            <v>8</v>
          </cell>
          <cell r="P262" t="str">
            <v>x</v>
          </cell>
          <cell r="Q262" t="str">
            <v>Lokalkontrollen Schöneberg-Nord</v>
          </cell>
          <cell r="R262">
            <v>0</v>
          </cell>
        </row>
        <row r="263">
          <cell r="B263" t="str">
            <v>16-08-8324</v>
          </cell>
          <cell r="C263">
            <v>3</v>
          </cell>
          <cell r="D263" t="str">
            <v>Transfer</v>
          </cell>
          <cell r="E263">
            <v>42580</v>
          </cell>
          <cell r="F263" t="str">
            <v>Dir 4</v>
          </cell>
          <cell r="G263">
            <v>0</v>
          </cell>
          <cell r="H263">
            <v>0</v>
          </cell>
          <cell r="I263">
            <v>0</v>
          </cell>
          <cell r="J263" t="str">
            <v>x</v>
          </cell>
          <cell r="K263">
            <v>0</v>
          </cell>
          <cell r="L263">
            <v>0</v>
          </cell>
          <cell r="M263">
            <v>42583</v>
          </cell>
          <cell r="N263">
            <v>42613</v>
          </cell>
          <cell r="O263">
            <v>8</v>
          </cell>
          <cell r="P263" t="str">
            <v>x</v>
          </cell>
          <cell r="Q263" t="str">
            <v>Schlachtensee/Krumme Lanke</v>
          </cell>
          <cell r="R263">
            <v>0</v>
          </cell>
        </row>
        <row r="264">
          <cell r="B264" t="str">
            <v>16-08-8325</v>
          </cell>
          <cell r="C264">
            <v>3</v>
          </cell>
          <cell r="D264" t="str">
            <v>Transfer</v>
          </cell>
          <cell r="E264">
            <v>42580</v>
          </cell>
          <cell r="F264" t="str">
            <v>Dir 5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 t="str">
            <v>x</v>
          </cell>
          <cell r="L264">
            <v>0</v>
          </cell>
          <cell r="M264">
            <v>42583</v>
          </cell>
          <cell r="N264">
            <v>42613</v>
          </cell>
          <cell r="O264">
            <v>8</v>
          </cell>
          <cell r="P264" t="str">
            <v>x</v>
          </cell>
          <cell r="Q264" t="str">
            <v>kbO Hermannplatz</v>
          </cell>
          <cell r="R264">
            <v>0</v>
          </cell>
        </row>
        <row r="265">
          <cell r="B265" t="str">
            <v>16-08-8326</v>
          </cell>
          <cell r="C265">
            <v>3</v>
          </cell>
          <cell r="D265" t="str">
            <v>Transfer</v>
          </cell>
          <cell r="E265">
            <v>42580</v>
          </cell>
          <cell r="F265" t="str">
            <v>Dir 6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 t="str">
            <v>x</v>
          </cell>
          <cell r="M265">
            <v>42583</v>
          </cell>
          <cell r="N265">
            <v>42613</v>
          </cell>
          <cell r="O265">
            <v>8</v>
          </cell>
          <cell r="P265" t="str">
            <v>x</v>
          </cell>
          <cell r="Q265" t="str">
            <v>KfZ - Diebstahl</v>
          </cell>
          <cell r="R265">
            <v>0</v>
          </cell>
        </row>
        <row r="266">
          <cell r="B266" t="str">
            <v>16-08-8327</v>
          </cell>
          <cell r="C266">
            <v>3</v>
          </cell>
          <cell r="D266" t="str">
            <v>Transfer</v>
          </cell>
          <cell r="E266">
            <v>42580</v>
          </cell>
          <cell r="F266" t="str">
            <v>Dir 6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 t="str">
            <v>x</v>
          </cell>
          <cell r="M266">
            <v>42583</v>
          </cell>
          <cell r="N266">
            <v>42613</v>
          </cell>
          <cell r="O266">
            <v>8</v>
          </cell>
          <cell r="P266" t="str">
            <v>x</v>
          </cell>
          <cell r="Q266" t="str">
            <v>Wohnraumeinbruch</v>
          </cell>
          <cell r="R266">
            <v>0</v>
          </cell>
        </row>
        <row r="267">
          <cell r="B267" t="str">
            <v>16-08-8328</v>
          </cell>
          <cell r="C267">
            <v>3</v>
          </cell>
          <cell r="D267" t="str">
            <v>Transfer</v>
          </cell>
          <cell r="E267">
            <v>42580</v>
          </cell>
          <cell r="F267" t="str">
            <v>LKA St 12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 t="str">
            <v>x</v>
          </cell>
          <cell r="M267">
            <v>42583</v>
          </cell>
          <cell r="N267">
            <v>42613</v>
          </cell>
          <cell r="O267">
            <v>8</v>
          </cell>
          <cell r="P267">
            <v>0</v>
          </cell>
          <cell r="Q267" t="str">
            <v>Fahrraddiebstahl A 66</v>
          </cell>
          <cell r="R267" t="str">
            <v>Schirmkonzeption</v>
          </cell>
        </row>
        <row r="268">
          <cell r="B268" t="str">
            <v>16-08-8429</v>
          </cell>
          <cell r="C268">
            <v>4</v>
          </cell>
          <cell r="D268" t="str">
            <v>Transfer</v>
          </cell>
          <cell r="E268">
            <v>42580</v>
          </cell>
          <cell r="F268" t="str">
            <v>LKA 26</v>
          </cell>
          <cell r="G268">
            <v>0</v>
          </cell>
          <cell r="H268">
            <v>0</v>
          </cell>
          <cell r="I268" t="str">
            <v>x</v>
          </cell>
          <cell r="J268">
            <v>0</v>
          </cell>
          <cell r="K268" t="str">
            <v>x</v>
          </cell>
          <cell r="L268">
            <v>0</v>
          </cell>
          <cell r="M268">
            <v>42583</v>
          </cell>
          <cell r="N268">
            <v>42613</v>
          </cell>
          <cell r="O268">
            <v>8</v>
          </cell>
          <cell r="P268">
            <v>0</v>
          </cell>
          <cell r="Q268" t="str">
            <v>Antänzer</v>
          </cell>
          <cell r="R268" t="str">
            <v>direktionsübergreifend (3, 5)</v>
          </cell>
        </row>
        <row r="269">
          <cell r="B269" t="str">
            <v>16-08-8430</v>
          </cell>
          <cell r="C269">
            <v>4</v>
          </cell>
          <cell r="D269" t="str">
            <v>Transfer</v>
          </cell>
          <cell r="E269">
            <v>42580</v>
          </cell>
          <cell r="F269" t="str">
            <v>LKA 26</v>
          </cell>
          <cell r="G269">
            <v>0</v>
          </cell>
          <cell r="H269" t="str">
            <v>x</v>
          </cell>
          <cell r="I269" t="str">
            <v>x</v>
          </cell>
          <cell r="J269">
            <v>0</v>
          </cell>
          <cell r="K269" t="str">
            <v>x</v>
          </cell>
          <cell r="L269">
            <v>0</v>
          </cell>
          <cell r="M269">
            <v>42583</v>
          </cell>
          <cell r="N269">
            <v>42613</v>
          </cell>
          <cell r="O269">
            <v>8</v>
          </cell>
          <cell r="P269">
            <v>0</v>
          </cell>
          <cell r="Q269" t="str">
            <v>StraßenKriPo</v>
          </cell>
          <cell r="R269" t="str">
            <v>direktionsübergreifend (2, 3, 5)</v>
          </cell>
        </row>
        <row r="270">
          <cell r="B270" t="str">
            <v>16-08-8431</v>
          </cell>
          <cell r="C270">
            <v>4</v>
          </cell>
          <cell r="D270" t="str">
            <v>Transfer</v>
          </cell>
          <cell r="E270">
            <v>42580</v>
          </cell>
          <cell r="F270" t="str">
            <v>LKA 26</v>
          </cell>
          <cell r="G270" t="str">
            <v>x</v>
          </cell>
          <cell r="H270" t="str">
            <v>x</v>
          </cell>
          <cell r="I270" t="str">
            <v>x</v>
          </cell>
          <cell r="J270">
            <v>0</v>
          </cell>
          <cell r="K270" t="str">
            <v>x</v>
          </cell>
          <cell r="L270">
            <v>0</v>
          </cell>
          <cell r="M270">
            <v>42583</v>
          </cell>
          <cell r="N270">
            <v>42613</v>
          </cell>
          <cell r="O270">
            <v>8</v>
          </cell>
          <cell r="P270">
            <v>0</v>
          </cell>
          <cell r="Q270" t="str">
            <v>Taschendiebstahl präv.</v>
          </cell>
          <cell r="R270" t="str">
            <v>direktionsübergreifend (1, 2, 3, 5)</v>
          </cell>
        </row>
        <row r="271">
          <cell r="B271" t="str">
            <v>16-08-8432</v>
          </cell>
          <cell r="C271">
            <v>4</v>
          </cell>
          <cell r="D271" t="str">
            <v>Transfer</v>
          </cell>
          <cell r="E271">
            <v>42580</v>
          </cell>
          <cell r="F271" t="str">
            <v>Dir 1</v>
          </cell>
          <cell r="G271" t="str">
            <v>x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42583</v>
          </cell>
          <cell r="N271">
            <v>42613</v>
          </cell>
          <cell r="O271">
            <v>8</v>
          </cell>
          <cell r="P271" t="str">
            <v>x</v>
          </cell>
          <cell r="Q271" t="str">
            <v>Wohnraumeinbruch</v>
          </cell>
          <cell r="R271">
            <v>0</v>
          </cell>
        </row>
        <row r="272">
          <cell r="B272" t="str">
            <v>16-08-8433</v>
          </cell>
          <cell r="C272">
            <v>4</v>
          </cell>
          <cell r="D272" t="str">
            <v>Transfer</v>
          </cell>
          <cell r="E272">
            <v>42580</v>
          </cell>
          <cell r="F272" t="str">
            <v>Dir 1</v>
          </cell>
          <cell r="G272" t="str">
            <v>x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42583</v>
          </cell>
          <cell r="N272">
            <v>42613</v>
          </cell>
          <cell r="O272">
            <v>8</v>
          </cell>
          <cell r="P272" t="str">
            <v>x</v>
          </cell>
          <cell r="Q272" t="str">
            <v>Badestrände</v>
          </cell>
          <cell r="R272">
            <v>0</v>
          </cell>
        </row>
        <row r="273">
          <cell r="B273" t="str">
            <v>16-08-8434</v>
          </cell>
          <cell r="C273">
            <v>4</v>
          </cell>
          <cell r="D273" t="str">
            <v>Transfer</v>
          </cell>
          <cell r="E273">
            <v>42580</v>
          </cell>
          <cell r="F273" t="str">
            <v>Dir 1</v>
          </cell>
          <cell r="G273" t="str">
            <v>x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42583</v>
          </cell>
          <cell r="N273">
            <v>42613</v>
          </cell>
          <cell r="O273">
            <v>8</v>
          </cell>
          <cell r="P273" t="str">
            <v>x</v>
          </cell>
          <cell r="Q273" t="str">
            <v>Verwahrlosung</v>
          </cell>
          <cell r="R273">
            <v>0</v>
          </cell>
        </row>
        <row r="274">
          <cell r="B274" t="str">
            <v>16-08-8435</v>
          </cell>
          <cell r="C274">
            <v>4</v>
          </cell>
          <cell r="D274" t="str">
            <v>Transfer</v>
          </cell>
          <cell r="E274">
            <v>42580</v>
          </cell>
          <cell r="F274" t="str">
            <v>Dir 1</v>
          </cell>
          <cell r="G274" t="str">
            <v>x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42583</v>
          </cell>
          <cell r="N274">
            <v>42613</v>
          </cell>
          <cell r="O274">
            <v>8</v>
          </cell>
          <cell r="P274" t="str">
            <v>x</v>
          </cell>
          <cell r="Q274" t="str">
            <v>BtM-Mauerpark</v>
          </cell>
          <cell r="R274">
            <v>0</v>
          </cell>
        </row>
        <row r="275">
          <cell r="B275" t="str">
            <v>16-08-8436</v>
          </cell>
          <cell r="C275">
            <v>4</v>
          </cell>
          <cell r="D275" t="str">
            <v>Transfer</v>
          </cell>
          <cell r="E275">
            <v>42580</v>
          </cell>
          <cell r="F275" t="str">
            <v>Dir 1</v>
          </cell>
          <cell r="G275" t="str">
            <v>x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42583</v>
          </cell>
          <cell r="N275">
            <v>42613</v>
          </cell>
          <cell r="O275">
            <v>8</v>
          </cell>
          <cell r="P275" t="str">
            <v>x</v>
          </cell>
          <cell r="Q275" t="str">
            <v>Gewerbeeinbruch</v>
          </cell>
          <cell r="R275">
            <v>0</v>
          </cell>
        </row>
        <row r="276">
          <cell r="B276" t="str">
            <v>16-08-8437</v>
          </cell>
          <cell r="C276">
            <v>4</v>
          </cell>
          <cell r="D276" t="str">
            <v>Transfer</v>
          </cell>
          <cell r="E276">
            <v>42580</v>
          </cell>
          <cell r="F276" t="str">
            <v>Dir 2</v>
          </cell>
          <cell r="G276">
            <v>0</v>
          </cell>
          <cell r="H276" t="str">
            <v>x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42583</v>
          </cell>
          <cell r="N276">
            <v>42613</v>
          </cell>
          <cell r="O276">
            <v>8</v>
          </cell>
          <cell r="P276" t="str">
            <v>x</v>
          </cell>
          <cell r="Q276" t="str">
            <v>Altstadt Spandau</v>
          </cell>
          <cell r="R276">
            <v>0</v>
          </cell>
        </row>
        <row r="277">
          <cell r="B277" t="str">
            <v>16-08-8438</v>
          </cell>
          <cell r="C277">
            <v>4</v>
          </cell>
          <cell r="D277" t="str">
            <v>Transfer</v>
          </cell>
          <cell r="E277">
            <v>42580</v>
          </cell>
          <cell r="F277" t="str">
            <v>Dir 2</v>
          </cell>
          <cell r="G277">
            <v>0</v>
          </cell>
          <cell r="H277" t="str">
            <v>x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42583</v>
          </cell>
          <cell r="N277">
            <v>42613</v>
          </cell>
          <cell r="O277">
            <v>8</v>
          </cell>
          <cell r="P277" t="str">
            <v>x</v>
          </cell>
          <cell r="Q277" t="str">
            <v>ZOB/ Kaiserdamm</v>
          </cell>
          <cell r="R277">
            <v>0</v>
          </cell>
        </row>
        <row r="278">
          <cell r="B278" t="str">
            <v>16-08-8439</v>
          </cell>
          <cell r="C278">
            <v>4</v>
          </cell>
          <cell r="D278" t="str">
            <v>Transfer</v>
          </cell>
          <cell r="E278">
            <v>42580</v>
          </cell>
          <cell r="F278" t="str">
            <v>Dir 2</v>
          </cell>
          <cell r="G278">
            <v>0</v>
          </cell>
          <cell r="H278" t="str">
            <v>x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42583</v>
          </cell>
          <cell r="N278">
            <v>42613</v>
          </cell>
          <cell r="O278">
            <v>8</v>
          </cell>
          <cell r="P278" t="str">
            <v>x</v>
          </cell>
          <cell r="Q278" t="str">
            <v>kbO Stuttgarter Platz</v>
          </cell>
          <cell r="R278">
            <v>0</v>
          </cell>
        </row>
        <row r="279">
          <cell r="B279" t="str">
            <v>16-08-8440</v>
          </cell>
          <cell r="C279">
            <v>4</v>
          </cell>
          <cell r="D279" t="str">
            <v>Transfer</v>
          </cell>
          <cell r="E279">
            <v>42580</v>
          </cell>
          <cell r="F279" t="str">
            <v>Dir 2</v>
          </cell>
          <cell r="G279">
            <v>0</v>
          </cell>
          <cell r="H279" t="str">
            <v>x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42583</v>
          </cell>
          <cell r="N279">
            <v>42613</v>
          </cell>
          <cell r="O279">
            <v>8</v>
          </cell>
          <cell r="P279" t="str">
            <v>x</v>
          </cell>
          <cell r="Q279" t="str">
            <v>U-Bhf. Bismarckstr.</v>
          </cell>
          <cell r="R279">
            <v>0</v>
          </cell>
        </row>
        <row r="280">
          <cell r="B280" t="str">
            <v>16-08-8441</v>
          </cell>
          <cell r="C280">
            <v>4</v>
          </cell>
          <cell r="D280" t="str">
            <v>Transfer</v>
          </cell>
          <cell r="E280">
            <v>42580</v>
          </cell>
          <cell r="F280" t="str">
            <v>Dir 2</v>
          </cell>
          <cell r="G280">
            <v>0</v>
          </cell>
          <cell r="H280" t="str">
            <v>x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42583</v>
          </cell>
          <cell r="N280">
            <v>42613</v>
          </cell>
          <cell r="O280">
            <v>8</v>
          </cell>
          <cell r="P280" t="str">
            <v>x</v>
          </cell>
          <cell r="Q280" t="str">
            <v>Adenauerplatz</v>
          </cell>
          <cell r="R280">
            <v>0</v>
          </cell>
        </row>
        <row r="281">
          <cell r="B281" t="str">
            <v>16-08-8442</v>
          </cell>
          <cell r="C281">
            <v>4</v>
          </cell>
          <cell r="D281" t="str">
            <v>Transfer</v>
          </cell>
          <cell r="E281">
            <v>42580</v>
          </cell>
          <cell r="F281" t="str">
            <v>LKA St 12</v>
          </cell>
          <cell r="G281">
            <v>0</v>
          </cell>
          <cell r="H281" t="str">
            <v>x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42583</v>
          </cell>
          <cell r="N281">
            <v>42613</v>
          </cell>
          <cell r="O281">
            <v>8</v>
          </cell>
          <cell r="P281">
            <v>0</v>
          </cell>
          <cell r="Q281" t="str">
            <v>Taschendiebstahl A 25</v>
          </cell>
          <cell r="R281" t="str">
            <v>Schirmkonzeption</v>
          </cell>
        </row>
        <row r="282">
          <cell r="B282" t="str">
            <v>16-08-8443</v>
          </cell>
          <cell r="C282">
            <v>4</v>
          </cell>
          <cell r="D282" t="str">
            <v>Transfer</v>
          </cell>
          <cell r="E282">
            <v>42580</v>
          </cell>
          <cell r="F282" t="str">
            <v>Dir 2</v>
          </cell>
          <cell r="G282">
            <v>0</v>
          </cell>
          <cell r="H282" t="str">
            <v>x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42583</v>
          </cell>
          <cell r="N282">
            <v>42613</v>
          </cell>
          <cell r="O282">
            <v>8</v>
          </cell>
          <cell r="P282" t="str">
            <v>x</v>
          </cell>
          <cell r="Q282" t="str">
            <v>Preußenpark</v>
          </cell>
          <cell r="R282">
            <v>0</v>
          </cell>
        </row>
        <row r="283">
          <cell r="B283" t="str">
            <v>16-08-8444</v>
          </cell>
          <cell r="C283">
            <v>4</v>
          </cell>
          <cell r="D283" t="str">
            <v>Transfer</v>
          </cell>
          <cell r="E283">
            <v>42580</v>
          </cell>
          <cell r="F283" t="str">
            <v>Dir 2</v>
          </cell>
          <cell r="G283">
            <v>0</v>
          </cell>
          <cell r="H283" t="str">
            <v>x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42583</v>
          </cell>
          <cell r="N283">
            <v>42613</v>
          </cell>
          <cell r="O283">
            <v>8</v>
          </cell>
          <cell r="P283" t="str">
            <v>x</v>
          </cell>
          <cell r="Q283" t="str">
            <v>Volkspark Wilmersdorf</v>
          </cell>
          <cell r="R283">
            <v>0</v>
          </cell>
        </row>
        <row r="284">
          <cell r="B284" t="str">
            <v>16-08-8445</v>
          </cell>
          <cell r="C284">
            <v>4</v>
          </cell>
          <cell r="D284" t="str">
            <v>Transfer</v>
          </cell>
          <cell r="E284">
            <v>42580</v>
          </cell>
          <cell r="F284" t="str">
            <v>LKA St 12</v>
          </cell>
          <cell r="G284">
            <v>0</v>
          </cell>
          <cell r="H284" t="str">
            <v>x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42583</v>
          </cell>
          <cell r="N284">
            <v>42613</v>
          </cell>
          <cell r="O284">
            <v>8</v>
          </cell>
          <cell r="P284">
            <v>0</v>
          </cell>
          <cell r="Q284" t="str">
            <v>Fahrraddiebstahl A 26</v>
          </cell>
          <cell r="R284" t="str">
            <v>Schirmkonzeption</v>
          </cell>
        </row>
        <row r="285">
          <cell r="B285" t="str">
            <v>16-08-8446</v>
          </cell>
          <cell r="C285">
            <v>4</v>
          </cell>
          <cell r="D285" t="str">
            <v>Transfer</v>
          </cell>
          <cell r="E285">
            <v>42580</v>
          </cell>
          <cell r="F285" t="str">
            <v>Dir 2</v>
          </cell>
          <cell r="G285">
            <v>0</v>
          </cell>
          <cell r="H285" t="str">
            <v>x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42583</v>
          </cell>
          <cell r="N285">
            <v>42613</v>
          </cell>
          <cell r="O285">
            <v>8</v>
          </cell>
          <cell r="P285" t="str">
            <v>x</v>
          </cell>
          <cell r="Q285" t="str">
            <v>Hütchenspiel</v>
          </cell>
          <cell r="R285" t="str">
            <v>direktionsübergreifend (2, 3)</v>
          </cell>
        </row>
        <row r="286">
          <cell r="B286" t="str">
            <v>16-08-8447</v>
          </cell>
          <cell r="C286">
            <v>4</v>
          </cell>
          <cell r="D286" t="str">
            <v>Transfer</v>
          </cell>
          <cell r="E286">
            <v>42580</v>
          </cell>
          <cell r="F286" t="str">
            <v>LKA St 12</v>
          </cell>
          <cell r="G286">
            <v>0</v>
          </cell>
          <cell r="H286">
            <v>0</v>
          </cell>
          <cell r="I286" t="str">
            <v>x</v>
          </cell>
          <cell r="J286">
            <v>0</v>
          </cell>
          <cell r="K286">
            <v>0</v>
          </cell>
          <cell r="L286">
            <v>0</v>
          </cell>
          <cell r="M286">
            <v>42583</v>
          </cell>
          <cell r="N286">
            <v>42613</v>
          </cell>
          <cell r="O286">
            <v>8</v>
          </cell>
          <cell r="P286">
            <v>0</v>
          </cell>
          <cell r="Q286" t="str">
            <v>Taschendiebstahl Dir 3</v>
          </cell>
          <cell r="R286" t="str">
            <v>Schirmkonzeption</v>
          </cell>
        </row>
        <row r="287">
          <cell r="B287" t="str">
            <v>16-08-8448</v>
          </cell>
          <cell r="C287">
            <v>4</v>
          </cell>
          <cell r="D287" t="str">
            <v>Transfer</v>
          </cell>
          <cell r="E287">
            <v>42580</v>
          </cell>
          <cell r="F287" t="str">
            <v>LKA St 12</v>
          </cell>
          <cell r="G287">
            <v>0</v>
          </cell>
          <cell r="H287">
            <v>0</v>
          </cell>
          <cell r="I287" t="str">
            <v>x</v>
          </cell>
          <cell r="J287">
            <v>0</v>
          </cell>
          <cell r="K287">
            <v>0</v>
          </cell>
          <cell r="L287">
            <v>0</v>
          </cell>
          <cell r="M287">
            <v>42583</v>
          </cell>
          <cell r="N287">
            <v>42613</v>
          </cell>
          <cell r="O287">
            <v>8</v>
          </cell>
          <cell r="P287">
            <v>0</v>
          </cell>
          <cell r="Q287" t="str">
            <v>Fahrraddiebstahl A 31</v>
          </cell>
          <cell r="R287" t="str">
            <v>Schirmkonzeption</v>
          </cell>
        </row>
        <row r="288">
          <cell r="B288" t="str">
            <v>16-08-8449</v>
          </cell>
          <cell r="C288">
            <v>4</v>
          </cell>
          <cell r="D288" t="str">
            <v>Transfer</v>
          </cell>
          <cell r="E288">
            <v>42580</v>
          </cell>
          <cell r="F288" t="str">
            <v>Dir 3</v>
          </cell>
          <cell r="G288">
            <v>0</v>
          </cell>
          <cell r="H288">
            <v>0</v>
          </cell>
          <cell r="I288" t="str">
            <v>x</v>
          </cell>
          <cell r="J288">
            <v>0</v>
          </cell>
          <cell r="K288">
            <v>0</v>
          </cell>
          <cell r="L288">
            <v>0</v>
          </cell>
          <cell r="M288">
            <v>42583</v>
          </cell>
          <cell r="N288">
            <v>42613</v>
          </cell>
          <cell r="O288">
            <v>8</v>
          </cell>
          <cell r="P288" t="str">
            <v>x</v>
          </cell>
          <cell r="Q288" t="str">
            <v>kbO Leopoldplatz</v>
          </cell>
          <cell r="R288">
            <v>0</v>
          </cell>
        </row>
        <row r="289">
          <cell r="B289" t="str">
            <v>16-08-8450</v>
          </cell>
          <cell r="C289">
            <v>4</v>
          </cell>
          <cell r="D289" t="str">
            <v>Transfer</v>
          </cell>
          <cell r="E289">
            <v>42580</v>
          </cell>
          <cell r="F289" t="str">
            <v>Dir 3</v>
          </cell>
          <cell r="G289">
            <v>0</v>
          </cell>
          <cell r="H289">
            <v>0</v>
          </cell>
          <cell r="I289" t="str">
            <v>x</v>
          </cell>
          <cell r="J289">
            <v>0</v>
          </cell>
          <cell r="K289">
            <v>0</v>
          </cell>
          <cell r="L289">
            <v>0</v>
          </cell>
          <cell r="M289">
            <v>42583</v>
          </cell>
          <cell r="N289">
            <v>42613</v>
          </cell>
          <cell r="O289">
            <v>8</v>
          </cell>
          <cell r="P289" t="str">
            <v>x</v>
          </cell>
          <cell r="Q289" t="str">
            <v>Tiergarten Süd</v>
          </cell>
          <cell r="R289">
            <v>0</v>
          </cell>
        </row>
        <row r="290">
          <cell r="B290" t="str">
            <v>16-08-8451</v>
          </cell>
          <cell r="C290">
            <v>4</v>
          </cell>
          <cell r="D290" t="str">
            <v>Transfer</v>
          </cell>
          <cell r="E290">
            <v>42580</v>
          </cell>
          <cell r="F290" t="str">
            <v>Dir 4</v>
          </cell>
          <cell r="G290">
            <v>0</v>
          </cell>
          <cell r="H290">
            <v>0</v>
          </cell>
          <cell r="I290">
            <v>0</v>
          </cell>
          <cell r="J290" t="str">
            <v>x</v>
          </cell>
          <cell r="K290">
            <v>0</v>
          </cell>
          <cell r="L290">
            <v>0</v>
          </cell>
          <cell r="M290">
            <v>42583</v>
          </cell>
          <cell r="N290">
            <v>42613</v>
          </cell>
          <cell r="O290">
            <v>8</v>
          </cell>
          <cell r="P290" t="str">
            <v>x</v>
          </cell>
          <cell r="Q290" t="str">
            <v>kbO Schöneberg Nord</v>
          </cell>
          <cell r="R290">
            <v>0</v>
          </cell>
        </row>
        <row r="291">
          <cell r="B291" t="str">
            <v>16-08-8452</v>
          </cell>
          <cell r="C291">
            <v>4</v>
          </cell>
          <cell r="D291" t="str">
            <v>Transfer</v>
          </cell>
          <cell r="E291">
            <v>42580</v>
          </cell>
          <cell r="F291" t="str">
            <v>Dir 4</v>
          </cell>
          <cell r="G291">
            <v>0</v>
          </cell>
          <cell r="H291">
            <v>0</v>
          </cell>
          <cell r="I291">
            <v>0</v>
          </cell>
          <cell r="J291" t="str">
            <v>x</v>
          </cell>
          <cell r="K291">
            <v>0</v>
          </cell>
          <cell r="L291">
            <v>0</v>
          </cell>
          <cell r="M291">
            <v>42583</v>
          </cell>
          <cell r="N291">
            <v>42613</v>
          </cell>
          <cell r="O291">
            <v>8</v>
          </cell>
          <cell r="P291" t="str">
            <v>x</v>
          </cell>
          <cell r="Q291" t="str">
            <v>Schlachtensee/Krumme Lanke</v>
          </cell>
          <cell r="R291">
            <v>0</v>
          </cell>
        </row>
        <row r="292">
          <cell r="B292" t="str">
            <v>16-08-8453</v>
          </cell>
          <cell r="C292">
            <v>4</v>
          </cell>
          <cell r="D292" t="str">
            <v>Transfer</v>
          </cell>
          <cell r="E292">
            <v>42580</v>
          </cell>
          <cell r="F292" t="str">
            <v>Dir 5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 t="str">
            <v>x</v>
          </cell>
          <cell r="L292">
            <v>0</v>
          </cell>
          <cell r="M292">
            <v>42583</v>
          </cell>
          <cell r="N292">
            <v>42613</v>
          </cell>
          <cell r="O292">
            <v>8</v>
          </cell>
          <cell r="P292" t="str">
            <v>x</v>
          </cell>
          <cell r="Q292" t="str">
            <v>kbO Hermannstr.</v>
          </cell>
          <cell r="R292">
            <v>0</v>
          </cell>
        </row>
        <row r="293">
          <cell r="B293" t="str">
            <v>16-08-8454</v>
          </cell>
          <cell r="C293">
            <v>4</v>
          </cell>
          <cell r="D293" t="str">
            <v>Transfer</v>
          </cell>
          <cell r="E293">
            <v>42580</v>
          </cell>
          <cell r="F293" t="str">
            <v>LKA St 12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 t="str">
            <v>x</v>
          </cell>
          <cell r="M293">
            <v>42583</v>
          </cell>
          <cell r="N293">
            <v>42613</v>
          </cell>
          <cell r="O293">
            <v>8</v>
          </cell>
          <cell r="P293">
            <v>0</v>
          </cell>
          <cell r="Q293" t="str">
            <v>Fahrraddiebstahl A 65</v>
          </cell>
          <cell r="R293" t="str">
            <v>Schirmkonzeption</v>
          </cell>
        </row>
        <row r="294">
          <cell r="B294" t="str">
            <v>16-08-8455</v>
          </cell>
          <cell r="C294">
            <v>4</v>
          </cell>
          <cell r="D294" t="str">
            <v>Transfer</v>
          </cell>
          <cell r="E294">
            <v>42580</v>
          </cell>
          <cell r="F294" t="str">
            <v>Dir 6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 t="str">
            <v>x</v>
          </cell>
          <cell r="M294">
            <v>42583</v>
          </cell>
          <cell r="N294">
            <v>42613</v>
          </cell>
          <cell r="O294">
            <v>8</v>
          </cell>
          <cell r="P294" t="str">
            <v>x</v>
          </cell>
          <cell r="Q294" t="str">
            <v>BtM-Kriminalität</v>
          </cell>
          <cell r="R294">
            <v>0</v>
          </cell>
        </row>
        <row r="295">
          <cell r="B295" t="str">
            <v>16-08-8256</v>
          </cell>
          <cell r="C295">
            <v>2</v>
          </cell>
          <cell r="D295" t="str">
            <v>Transfer</v>
          </cell>
          <cell r="E295">
            <v>42580</v>
          </cell>
          <cell r="F295" t="str">
            <v>Dir 3</v>
          </cell>
          <cell r="G295">
            <v>0</v>
          </cell>
          <cell r="H295">
            <v>0</v>
          </cell>
          <cell r="I295" t="str">
            <v>x</v>
          </cell>
          <cell r="J295">
            <v>0</v>
          </cell>
          <cell r="K295">
            <v>0</v>
          </cell>
          <cell r="L295">
            <v>0</v>
          </cell>
          <cell r="M295">
            <v>42583</v>
          </cell>
          <cell r="N295">
            <v>42613</v>
          </cell>
          <cell r="O295">
            <v>8</v>
          </cell>
          <cell r="P295">
            <v>0</v>
          </cell>
          <cell r="Q295" t="str">
            <v>Hütchenspiel</v>
          </cell>
          <cell r="R295" t="str">
            <v>direktionsübergreifend (2, 3)</v>
          </cell>
        </row>
        <row r="296">
          <cell r="B296" t="str">
            <v>16-08-8457</v>
          </cell>
          <cell r="C296">
            <v>4</v>
          </cell>
          <cell r="D296" t="str">
            <v>Transfer</v>
          </cell>
          <cell r="E296">
            <v>42580</v>
          </cell>
          <cell r="F296" t="str">
            <v>Dir 3</v>
          </cell>
          <cell r="G296">
            <v>0</v>
          </cell>
          <cell r="H296">
            <v>0</v>
          </cell>
          <cell r="I296" t="str">
            <v>x</v>
          </cell>
          <cell r="J296">
            <v>0</v>
          </cell>
          <cell r="K296">
            <v>0</v>
          </cell>
          <cell r="L296">
            <v>0</v>
          </cell>
          <cell r="M296">
            <v>42583</v>
          </cell>
          <cell r="N296">
            <v>42613</v>
          </cell>
          <cell r="O296">
            <v>8</v>
          </cell>
          <cell r="P296" t="str">
            <v>x</v>
          </cell>
          <cell r="Q296" t="str">
            <v>Hütchenspiel</v>
          </cell>
          <cell r="R296" t="str">
            <v>direktionsübergreifend (2, 3)</v>
          </cell>
        </row>
        <row r="297">
          <cell r="B297" t="str">
            <v>16-09-8201</v>
          </cell>
          <cell r="C297">
            <v>2</v>
          </cell>
          <cell r="D297" t="str">
            <v>Transfer</v>
          </cell>
          <cell r="E297">
            <v>42613</v>
          </cell>
          <cell r="F297" t="str">
            <v>Dir 2</v>
          </cell>
          <cell r="G297">
            <v>0</v>
          </cell>
          <cell r="H297" t="str">
            <v>x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42614</v>
          </cell>
          <cell r="N297">
            <v>42643</v>
          </cell>
          <cell r="O297">
            <v>9</v>
          </cell>
          <cell r="P297">
            <v>0</v>
          </cell>
          <cell r="Q297" t="str">
            <v>Focus City West</v>
          </cell>
          <cell r="R297">
            <v>0</v>
          </cell>
        </row>
        <row r="298">
          <cell r="B298" t="str">
            <v>16-09-8203</v>
          </cell>
          <cell r="C298">
            <v>2</v>
          </cell>
          <cell r="D298" t="str">
            <v>Transfer</v>
          </cell>
          <cell r="E298">
            <v>42613</v>
          </cell>
          <cell r="F298" t="str">
            <v>Dir 3</v>
          </cell>
          <cell r="G298">
            <v>0</v>
          </cell>
          <cell r="H298">
            <v>0</v>
          </cell>
          <cell r="I298" t="str">
            <v>x</v>
          </cell>
          <cell r="J298">
            <v>0</v>
          </cell>
          <cell r="K298">
            <v>0</v>
          </cell>
          <cell r="L298">
            <v>0</v>
          </cell>
          <cell r="M298">
            <v>42614</v>
          </cell>
          <cell r="N298">
            <v>42643</v>
          </cell>
          <cell r="O298">
            <v>9</v>
          </cell>
          <cell r="P298">
            <v>0</v>
          </cell>
          <cell r="Q298" t="str">
            <v>Sichere Mitte</v>
          </cell>
          <cell r="R298">
            <v>0</v>
          </cell>
        </row>
        <row r="299">
          <cell r="B299" t="str">
            <v>16-09-8204</v>
          </cell>
          <cell r="C299">
            <v>2</v>
          </cell>
          <cell r="D299" t="str">
            <v>Transfer</v>
          </cell>
          <cell r="E299">
            <v>42613</v>
          </cell>
          <cell r="F299" t="str">
            <v>Dir 3</v>
          </cell>
          <cell r="G299">
            <v>0</v>
          </cell>
          <cell r="H299">
            <v>0</v>
          </cell>
          <cell r="I299" t="str">
            <v>x</v>
          </cell>
          <cell r="J299">
            <v>0</v>
          </cell>
          <cell r="K299">
            <v>0</v>
          </cell>
          <cell r="L299">
            <v>0</v>
          </cell>
          <cell r="M299">
            <v>42614</v>
          </cell>
          <cell r="N299">
            <v>42643</v>
          </cell>
          <cell r="O299">
            <v>9</v>
          </cell>
          <cell r="P299">
            <v>0</v>
          </cell>
          <cell r="Q299" t="str">
            <v>kbO Kleiner Tiergarten</v>
          </cell>
          <cell r="R299">
            <v>0</v>
          </cell>
        </row>
        <row r="300">
          <cell r="B300" t="str">
            <v>16-09-8206</v>
          </cell>
          <cell r="C300">
            <v>2</v>
          </cell>
          <cell r="D300" t="str">
            <v>Transfer</v>
          </cell>
          <cell r="E300">
            <v>42613</v>
          </cell>
          <cell r="F300" t="str">
            <v>Dir 5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 t="str">
            <v>x</v>
          </cell>
          <cell r="L300">
            <v>0</v>
          </cell>
          <cell r="M300">
            <v>42614</v>
          </cell>
          <cell r="N300">
            <v>42643</v>
          </cell>
          <cell r="O300">
            <v>9</v>
          </cell>
          <cell r="P300">
            <v>0</v>
          </cell>
          <cell r="Q300" t="str">
            <v>kbO Warschauer Brücke - Kottbusser Tor</v>
          </cell>
          <cell r="R300">
            <v>0</v>
          </cell>
        </row>
        <row r="301">
          <cell r="B301" t="str">
            <v>16-09-8309</v>
          </cell>
          <cell r="C301">
            <v>3</v>
          </cell>
          <cell r="D301" t="str">
            <v>Transfer</v>
          </cell>
          <cell r="E301">
            <v>42613</v>
          </cell>
          <cell r="F301" t="str">
            <v>Dir 1</v>
          </cell>
          <cell r="G301" t="str">
            <v>x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42614</v>
          </cell>
          <cell r="N301">
            <v>42643</v>
          </cell>
          <cell r="O301">
            <v>9</v>
          </cell>
          <cell r="P301" t="str">
            <v>x</v>
          </cell>
          <cell r="Q301" t="str">
            <v>Mauerpark</v>
          </cell>
          <cell r="R301">
            <v>0</v>
          </cell>
        </row>
        <row r="302">
          <cell r="B302" t="str">
            <v>16-09-8311</v>
          </cell>
          <cell r="C302">
            <v>3</v>
          </cell>
          <cell r="D302" t="str">
            <v>Transfer</v>
          </cell>
          <cell r="E302">
            <v>42613</v>
          </cell>
          <cell r="F302" t="str">
            <v>Dir 2</v>
          </cell>
          <cell r="G302">
            <v>0</v>
          </cell>
          <cell r="H302" t="str">
            <v>x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42614</v>
          </cell>
          <cell r="N302">
            <v>42643</v>
          </cell>
          <cell r="O302">
            <v>9</v>
          </cell>
          <cell r="P302" t="str">
            <v>x</v>
          </cell>
          <cell r="Q302" t="str">
            <v>kbO Stuttgarter Platz</v>
          </cell>
          <cell r="R302">
            <v>0</v>
          </cell>
        </row>
        <row r="303">
          <cell r="B303" t="str">
            <v>16-09-8317</v>
          </cell>
          <cell r="C303">
            <v>3</v>
          </cell>
          <cell r="D303" t="str">
            <v>Transfer</v>
          </cell>
          <cell r="E303">
            <v>42613</v>
          </cell>
          <cell r="F303" t="str">
            <v>Dir 3</v>
          </cell>
          <cell r="G303">
            <v>0</v>
          </cell>
          <cell r="H303">
            <v>0</v>
          </cell>
          <cell r="I303" t="str">
            <v>x</v>
          </cell>
          <cell r="J303">
            <v>0</v>
          </cell>
          <cell r="K303">
            <v>0</v>
          </cell>
          <cell r="L303">
            <v>0</v>
          </cell>
          <cell r="M303">
            <v>42614</v>
          </cell>
          <cell r="N303">
            <v>42643</v>
          </cell>
          <cell r="O303">
            <v>9</v>
          </cell>
          <cell r="P303" t="str">
            <v>x</v>
          </cell>
          <cell r="Q303" t="str">
            <v>Brennpunkt A 36</v>
          </cell>
          <cell r="R303">
            <v>0</v>
          </cell>
        </row>
        <row r="304">
          <cell r="B304" t="str">
            <v>16-09-8320</v>
          </cell>
          <cell r="C304">
            <v>3</v>
          </cell>
          <cell r="D304" t="str">
            <v>Transfer</v>
          </cell>
          <cell r="E304">
            <v>42613</v>
          </cell>
          <cell r="F304" t="str">
            <v>Dir 3</v>
          </cell>
          <cell r="G304">
            <v>0</v>
          </cell>
          <cell r="H304">
            <v>0</v>
          </cell>
          <cell r="I304" t="str">
            <v>x</v>
          </cell>
          <cell r="J304">
            <v>0</v>
          </cell>
          <cell r="K304">
            <v>0</v>
          </cell>
          <cell r="L304">
            <v>0</v>
          </cell>
          <cell r="M304">
            <v>42614</v>
          </cell>
          <cell r="N304">
            <v>42643</v>
          </cell>
          <cell r="O304">
            <v>9</v>
          </cell>
          <cell r="P304" t="str">
            <v>x</v>
          </cell>
          <cell r="Q304" t="str">
            <v>kbO Leopoldplatz</v>
          </cell>
          <cell r="R304">
            <v>0</v>
          </cell>
        </row>
        <row r="305">
          <cell r="B305" t="str">
            <v>16-09-8324</v>
          </cell>
          <cell r="C305">
            <v>3</v>
          </cell>
          <cell r="D305" t="str">
            <v>Transfer</v>
          </cell>
          <cell r="E305">
            <v>42613</v>
          </cell>
          <cell r="F305" t="str">
            <v>Dir 4</v>
          </cell>
          <cell r="G305">
            <v>0</v>
          </cell>
          <cell r="H305">
            <v>0</v>
          </cell>
          <cell r="I305">
            <v>0</v>
          </cell>
          <cell r="J305" t="str">
            <v>x</v>
          </cell>
          <cell r="K305">
            <v>0</v>
          </cell>
          <cell r="L305">
            <v>0</v>
          </cell>
          <cell r="M305">
            <v>42614</v>
          </cell>
          <cell r="N305">
            <v>42643</v>
          </cell>
          <cell r="O305">
            <v>9</v>
          </cell>
          <cell r="P305" t="str">
            <v>x</v>
          </cell>
          <cell r="Q305" t="str">
            <v>Lokalkontrollen Schöneberg-Nord</v>
          </cell>
          <cell r="R305">
            <v>0</v>
          </cell>
        </row>
        <row r="306">
          <cell r="B306" t="str">
            <v>16-09-8328</v>
          </cell>
          <cell r="C306">
            <v>3</v>
          </cell>
          <cell r="D306" t="str">
            <v>Transfer</v>
          </cell>
          <cell r="E306">
            <v>42613</v>
          </cell>
          <cell r="F306" t="str">
            <v>Dir 5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 t="str">
            <v>x</v>
          </cell>
          <cell r="L306">
            <v>0</v>
          </cell>
          <cell r="M306">
            <v>42614</v>
          </cell>
          <cell r="N306">
            <v>42643</v>
          </cell>
          <cell r="O306">
            <v>9</v>
          </cell>
          <cell r="P306" t="str">
            <v>x</v>
          </cell>
          <cell r="Q306" t="str">
            <v>kbO Hermannplatz</v>
          </cell>
          <cell r="R306">
            <v>0</v>
          </cell>
        </row>
        <row r="307">
          <cell r="B307" t="str">
            <v>16-09-8331</v>
          </cell>
          <cell r="C307">
            <v>3</v>
          </cell>
          <cell r="D307" t="str">
            <v>Transfer</v>
          </cell>
          <cell r="E307">
            <v>42613</v>
          </cell>
          <cell r="F307" t="str">
            <v>Dir 6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 t="str">
            <v>x</v>
          </cell>
          <cell r="M307">
            <v>42614</v>
          </cell>
          <cell r="N307">
            <v>42643</v>
          </cell>
          <cell r="O307">
            <v>9</v>
          </cell>
          <cell r="P307" t="str">
            <v>x</v>
          </cell>
          <cell r="Q307" t="str">
            <v>KfZ - Diebstahl</v>
          </cell>
          <cell r="R307">
            <v>0</v>
          </cell>
        </row>
        <row r="308">
          <cell r="B308" t="str">
            <v>16-09-8434</v>
          </cell>
          <cell r="C308">
            <v>4</v>
          </cell>
          <cell r="D308" t="str">
            <v>Transfer</v>
          </cell>
          <cell r="E308">
            <v>42613</v>
          </cell>
          <cell r="F308" t="str">
            <v xml:space="preserve">Dir 1 </v>
          </cell>
          <cell r="G308" t="str">
            <v>x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42614</v>
          </cell>
          <cell r="N308">
            <v>42643</v>
          </cell>
          <cell r="O308">
            <v>9</v>
          </cell>
          <cell r="P308" t="str">
            <v>x</v>
          </cell>
          <cell r="Q308" t="str">
            <v>Wohnraumeinbruch</v>
          </cell>
          <cell r="R308">
            <v>0</v>
          </cell>
        </row>
        <row r="309">
          <cell r="B309" t="str">
            <v>16-09-8437</v>
          </cell>
          <cell r="C309">
            <v>4</v>
          </cell>
          <cell r="D309" t="str">
            <v>Transfer</v>
          </cell>
          <cell r="E309">
            <v>42613</v>
          </cell>
          <cell r="F309" t="str">
            <v>Dir 1</v>
          </cell>
          <cell r="G309" t="str">
            <v>x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42614</v>
          </cell>
          <cell r="N309">
            <v>42643</v>
          </cell>
          <cell r="O309">
            <v>9</v>
          </cell>
          <cell r="P309" t="str">
            <v>x</v>
          </cell>
          <cell r="Q309" t="str">
            <v>BtM-Mauerpark</v>
          </cell>
          <cell r="R309">
            <v>0</v>
          </cell>
        </row>
        <row r="310">
          <cell r="B310" t="str">
            <v>16-09-8451</v>
          </cell>
          <cell r="C310">
            <v>4</v>
          </cell>
          <cell r="D310" t="str">
            <v>Transfer</v>
          </cell>
          <cell r="E310">
            <v>42613</v>
          </cell>
          <cell r="F310" t="str">
            <v>LKA St 12</v>
          </cell>
          <cell r="G310">
            <v>0</v>
          </cell>
          <cell r="H310">
            <v>0</v>
          </cell>
          <cell r="I310" t="str">
            <v>x</v>
          </cell>
          <cell r="J310">
            <v>0</v>
          </cell>
          <cell r="K310">
            <v>0</v>
          </cell>
          <cell r="L310">
            <v>0</v>
          </cell>
          <cell r="M310">
            <v>42614</v>
          </cell>
          <cell r="N310">
            <v>42643</v>
          </cell>
          <cell r="O310">
            <v>9</v>
          </cell>
          <cell r="P310">
            <v>0</v>
          </cell>
          <cell r="Q310" t="str">
            <v>Taschendiebstahl Dir 3</v>
          </cell>
          <cell r="R310" t="str">
            <v>Schirmkonzeption</v>
          </cell>
        </row>
        <row r="311">
          <cell r="B311" t="str">
            <v>16-09-8459</v>
          </cell>
          <cell r="C311">
            <v>4</v>
          </cell>
          <cell r="D311" t="str">
            <v>Transfer</v>
          </cell>
          <cell r="E311">
            <v>42613</v>
          </cell>
          <cell r="F311" t="str">
            <v>Dir 4</v>
          </cell>
          <cell r="G311">
            <v>0</v>
          </cell>
          <cell r="H311">
            <v>0</v>
          </cell>
          <cell r="I311">
            <v>0</v>
          </cell>
          <cell r="J311" t="str">
            <v>x</v>
          </cell>
          <cell r="K311">
            <v>0</v>
          </cell>
          <cell r="L311">
            <v>0</v>
          </cell>
          <cell r="M311">
            <v>42614</v>
          </cell>
          <cell r="N311">
            <v>42643</v>
          </cell>
          <cell r="O311">
            <v>9</v>
          </cell>
          <cell r="P311" t="str">
            <v>x</v>
          </cell>
          <cell r="Q311" t="str">
            <v>kbO Schöneberg Nord</v>
          </cell>
          <cell r="R311">
            <v>0</v>
          </cell>
        </row>
        <row r="312">
          <cell r="B312" t="str">
            <v>16-09-8468</v>
          </cell>
          <cell r="C312">
            <v>4</v>
          </cell>
          <cell r="D312" t="str">
            <v>Transfer</v>
          </cell>
          <cell r="E312">
            <v>42613</v>
          </cell>
          <cell r="F312" t="str">
            <v>Dir 6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 t="str">
            <v>x</v>
          </cell>
          <cell r="M312">
            <v>42614</v>
          </cell>
          <cell r="N312">
            <v>42643</v>
          </cell>
          <cell r="O312">
            <v>9</v>
          </cell>
          <cell r="P312" t="str">
            <v>x</v>
          </cell>
          <cell r="Q312" t="str">
            <v>Wohnraumeinbruch</v>
          </cell>
          <cell r="R312">
            <v>0</v>
          </cell>
        </row>
        <row r="313">
          <cell r="B313" t="str">
            <v>16-10-8201</v>
          </cell>
          <cell r="C313">
            <v>2</v>
          </cell>
          <cell r="D313">
            <v>42640</v>
          </cell>
          <cell r="E313">
            <v>42642</v>
          </cell>
          <cell r="F313" t="str">
            <v>Dir 2</v>
          </cell>
          <cell r="G313">
            <v>0</v>
          </cell>
          <cell r="H313" t="str">
            <v>x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42644</v>
          </cell>
          <cell r="N313">
            <v>42674</v>
          </cell>
          <cell r="O313">
            <v>10</v>
          </cell>
          <cell r="P313">
            <v>0</v>
          </cell>
          <cell r="Q313" t="str">
            <v>Focus City West</v>
          </cell>
          <cell r="R313">
            <v>0</v>
          </cell>
        </row>
        <row r="314">
          <cell r="B314" t="str">
            <v>16-10-8203</v>
          </cell>
          <cell r="C314">
            <v>2</v>
          </cell>
          <cell r="D314">
            <v>42640</v>
          </cell>
          <cell r="E314">
            <v>42642</v>
          </cell>
          <cell r="F314" t="str">
            <v>Dir 3</v>
          </cell>
          <cell r="G314">
            <v>0</v>
          </cell>
          <cell r="H314">
            <v>0</v>
          </cell>
          <cell r="I314" t="str">
            <v>x</v>
          </cell>
          <cell r="J314">
            <v>0</v>
          </cell>
          <cell r="K314">
            <v>0</v>
          </cell>
          <cell r="L314">
            <v>0</v>
          </cell>
          <cell r="M314">
            <v>42644</v>
          </cell>
          <cell r="N314">
            <v>42674</v>
          </cell>
          <cell r="O314">
            <v>10</v>
          </cell>
          <cell r="P314">
            <v>0</v>
          </cell>
          <cell r="Q314" t="str">
            <v>Sichere Mitte</v>
          </cell>
          <cell r="R314">
            <v>0</v>
          </cell>
        </row>
        <row r="315">
          <cell r="B315" t="str">
            <v>16-10-8204</v>
          </cell>
          <cell r="C315">
            <v>2</v>
          </cell>
          <cell r="D315">
            <v>42640</v>
          </cell>
          <cell r="E315">
            <v>42642</v>
          </cell>
          <cell r="F315" t="str">
            <v>Dir 3</v>
          </cell>
          <cell r="G315">
            <v>0</v>
          </cell>
          <cell r="H315">
            <v>0</v>
          </cell>
          <cell r="I315" t="str">
            <v>x</v>
          </cell>
          <cell r="J315">
            <v>0</v>
          </cell>
          <cell r="K315">
            <v>0</v>
          </cell>
          <cell r="L315">
            <v>0</v>
          </cell>
          <cell r="M315">
            <v>42644</v>
          </cell>
          <cell r="N315">
            <v>42674</v>
          </cell>
          <cell r="O315">
            <v>10</v>
          </cell>
          <cell r="P315">
            <v>0</v>
          </cell>
          <cell r="Q315" t="str">
            <v>kbO Kleiner Tiergarten</v>
          </cell>
          <cell r="R315">
            <v>0</v>
          </cell>
        </row>
        <row r="316">
          <cell r="B316" t="str">
            <v>16-10-8206</v>
          </cell>
          <cell r="C316">
            <v>2</v>
          </cell>
          <cell r="D316">
            <v>42640</v>
          </cell>
          <cell r="E316">
            <v>42642</v>
          </cell>
          <cell r="F316" t="str">
            <v>Dir 5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 t="str">
            <v>x</v>
          </cell>
          <cell r="L316">
            <v>0</v>
          </cell>
          <cell r="M316">
            <v>42644</v>
          </cell>
          <cell r="N316">
            <v>42674</v>
          </cell>
          <cell r="O316">
            <v>10</v>
          </cell>
          <cell r="P316">
            <v>0</v>
          </cell>
          <cell r="Q316" t="str">
            <v>kbO Warschauer Brücke - Kottbusser Tor</v>
          </cell>
          <cell r="R316">
            <v>0</v>
          </cell>
        </row>
        <row r="317">
          <cell r="B317" t="str">
            <v>16-10-8307</v>
          </cell>
          <cell r="C317">
            <v>3</v>
          </cell>
          <cell r="D317">
            <v>42640</v>
          </cell>
          <cell r="E317">
            <v>42642</v>
          </cell>
          <cell r="F317" t="str">
            <v>LKA St 12</v>
          </cell>
          <cell r="G317">
            <v>0</v>
          </cell>
          <cell r="H317" t="str">
            <v>x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42644</v>
          </cell>
          <cell r="N317">
            <v>42674</v>
          </cell>
          <cell r="O317">
            <v>10</v>
          </cell>
          <cell r="P317">
            <v>0</v>
          </cell>
          <cell r="Q317" t="str">
            <v>Fahrraddiebstahl A 26</v>
          </cell>
          <cell r="R317" t="str">
            <v>Schirmkonzeption</v>
          </cell>
        </row>
        <row r="318">
          <cell r="B318" t="str">
            <v>16-10-8309</v>
          </cell>
          <cell r="C318">
            <v>3</v>
          </cell>
          <cell r="D318">
            <v>42640</v>
          </cell>
          <cell r="E318">
            <v>42642</v>
          </cell>
          <cell r="F318" t="str">
            <v xml:space="preserve">Dir 1 </v>
          </cell>
          <cell r="G318" t="str">
            <v>x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42644</v>
          </cell>
          <cell r="N318">
            <v>42674</v>
          </cell>
          <cell r="O318">
            <v>10</v>
          </cell>
          <cell r="P318" t="str">
            <v>x</v>
          </cell>
          <cell r="Q318" t="str">
            <v>Mauerpark</v>
          </cell>
          <cell r="R318">
            <v>0</v>
          </cell>
        </row>
        <row r="319">
          <cell r="B319" t="str">
            <v>16-10-8310</v>
          </cell>
          <cell r="C319">
            <v>3</v>
          </cell>
          <cell r="D319">
            <v>42640</v>
          </cell>
          <cell r="E319">
            <v>42642</v>
          </cell>
          <cell r="F319" t="str">
            <v xml:space="preserve">Dir 2 </v>
          </cell>
          <cell r="G319">
            <v>0</v>
          </cell>
          <cell r="H319" t="str">
            <v>x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42644</v>
          </cell>
          <cell r="N319">
            <v>42674</v>
          </cell>
          <cell r="O319">
            <v>10</v>
          </cell>
          <cell r="P319" t="str">
            <v>x</v>
          </cell>
          <cell r="Q319" t="str">
            <v>kbO Stuttgarter Platz</v>
          </cell>
          <cell r="R319">
            <v>0</v>
          </cell>
        </row>
        <row r="320">
          <cell r="B320" t="str">
            <v>16-10-8311</v>
          </cell>
          <cell r="C320">
            <v>3</v>
          </cell>
          <cell r="D320">
            <v>42640</v>
          </cell>
          <cell r="E320">
            <v>42642</v>
          </cell>
          <cell r="F320" t="str">
            <v xml:space="preserve">Dir 2 </v>
          </cell>
          <cell r="G320">
            <v>0</v>
          </cell>
          <cell r="H320" t="str">
            <v>x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42644</v>
          </cell>
          <cell r="N320">
            <v>42674</v>
          </cell>
          <cell r="O320">
            <v>10</v>
          </cell>
          <cell r="P320" t="str">
            <v>x</v>
          </cell>
          <cell r="Q320" t="str">
            <v>ZOB/ Kaiserdamm</v>
          </cell>
          <cell r="R320">
            <v>0</v>
          </cell>
        </row>
        <row r="321">
          <cell r="B321" t="str">
            <v>16-10-8312</v>
          </cell>
          <cell r="C321">
            <v>3</v>
          </cell>
          <cell r="D321">
            <v>42640</v>
          </cell>
          <cell r="E321">
            <v>42642</v>
          </cell>
          <cell r="F321" t="str">
            <v>Dir 3</v>
          </cell>
          <cell r="G321">
            <v>0</v>
          </cell>
          <cell r="H321">
            <v>0</v>
          </cell>
          <cell r="I321" t="str">
            <v>x</v>
          </cell>
          <cell r="J321">
            <v>0</v>
          </cell>
          <cell r="K321">
            <v>0</v>
          </cell>
          <cell r="L321">
            <v>0</v>
          </cell>
          <cell r="M321">
            <v>42644</v>
          </cell>
          <cell r="N321">
            <v>42674</v>
          </cell>
          <cell r="O321">
            <v>10</v>
          </cell>
          <cell r="P321" t="str">
            <v>x</v>
          </cell>
          <cell r="Q321" t="str">
            <v>kbO Leopoldplatz</v>
          </cell>
          <cell r="R321">
            <v>0</v>
          </cell>
        </row>
        <row r="322">
          <cell r="B322" t="str">
            <v>16-10-8313</v>
          </cell>
          <cell r="C322">
            <v>3</v>
          </cell>
          <cell r="D322">
            <v>42640</v>
          </cell>
          <cell r="E322">
            <v>42642</v>
          </cell>
          <cell r="F322" t="str">
            <v>Dir 3</v>
          </cell>
          <cell r="G322">
            <v>0</v>
          </cell>
          <cell r="H322">
            <v>0</v>
          </cell>
          <cell r="I322" t="str">
            <v>x</v>
          </cell>
          <cell r="J322">
            <v>0</v>
          </cell>
          <cell r="K322">
            <v>0</v>
          </cell>
          <cell r="L322">
            <v>0</v>
          </cell>
          <cell r="M322">
            <v>42644</v>
          </cell>
          <cell r="N322">
            <v>42674</v>
          </cell>
          <cell r="O322">
            <v>10</v>
          </cell>
          <cell r="P322" t="str">
            <v>x</v>
          </cell>
          <cell r="Q322" t="str">
            <v>Tiergarten Süd</v>
          </cell>
          <cell r="R322">
            <v>0</v>
          </cell>
        </row>
        <row r="323">
          <cell r="B323" t="str">
            <v>16-10-8314</v>
          </cell>
          <cell r="C323">
            <v>3</v>
          </cell>
          <cell r="D323">
            <v>42640</v>
          </cell>
          <cell r="E323">
            <v>42642</v>
          </cell>
          <cell r="F323" t="str">
            <v>Dir 3</v>
          </cell>
          <cell r="G323">
            <v>0</v>
          </cell>
          <cell r="H323">
            <v>0</v>
          </cell>
          <cell r="I323" t="str">
            <v>x</v>
          </cell>
          <cell r="J323">
            <v>0</v>
          </cell>
          <cell r="K323">
            <v>0</v>
          </cell>
          <cell r="L323">
            <v>0</v>
          </cell>
          <cell r="M323">
            <v>42644</v>
          </cell>
          <cell r="N323">
            <v>42674</v>
          </cell>
          <cell r="O323">
            <v>10</v>
          </cell>
          <cell r="P323" t="str">
            <v>x</v>
          </cell>
          <cell r="Q323" t="str">
            <v>Spendensammelbetrug</v>
          </cell>
          <cell r="R323">
            <v>0</v>
          </cell>
        </row>
        <row r="324">
          <cell r="B324" t="str">
            <v>16-10-8315</v>
          </cell>
          <cell r="C324">
            <v>3</v>
          </cell>
          <cell r="D324">
            <v>42640</v>
          </cell>
          <cell r="E324">
            <v>42642</v>
          </cell>
          <cell r="F324" t="str">
            <v>Dir 4</v>
          </cell>
          <cell r="G324">
            <v>0</v>
          </cell>
          <cell r="H324">
            <v>0</v>
          </cell>
          <cell r="I324">
            <v>0</v>
          </cell>
          <cell r="J324" t="str">
            <v>x</v>
          </cell>
          <cell r="K324">
            <v>0</v>
          </cell>
          <cell r="L324">
            <v>0</v>
          </cell>
          <cell r="M324">
            <v>42644</v>
          </cell>
          <cell r="N324">
            <v>42674</v>
          </cell>
          <cell r="O324">
            <v>10</v>
          </cell>
          <cell r="P324" t="str">
            <v>x</v>
          </cell>
          <cell r="Q324" t="str">
            <v>Lokalkontrollen Schöneberg-Nord</v>
          </cell>
          <cell r="R324">
            <v>0</v>
          </cell>
        </row>
        <row r="325">
          <cell r="B325" t="str">
            <v>16-10-8316</v>
          </cell>
          <cell r="C325">
            <v>3</v>
          </cell>
          <cell r="D325">
            <v>42640</v>
          </cell>
          <cell r="E325">
            <v>42642</v>
          </cell>
          <cell r="F325" t="str">
            <v>Dir 4</v>
          </cell>
          <cell r="G325">
            <v>0</v>
          </cell>
          <cell r="H325">
            <v>0</v>
          </cell>
          <cell r="I325">
            <v>0</v>
          </cell>
          <cell r="J325" t="str">
            <v>x</v>
          </cell>
          <cell r="K325">
            <v>0</v>
          </cell>
          <cell r="L325">
            <v>0</v>
          </cell>
          <cell r="M325">
            <v>42644</v>
          </cell>
          <cell r="N325">
            <v>42674</v>
          </cell>
          <cell r="O325">
            <v>10</v>
          </cell>
          <cell r="P325" t="str">
            <v>x</v>
          </cell>
          <cell r="Q325" t="str">
            <v>Wohnraumeinbruch</v>
          </cell>
          <cell r="R325">
            <v>0</v>
          </cell>
        </row>
        <row r="326">
          <cell r="B326" t="str">
            <v>16-10-8317</v>
          </cell>
          <cell r="C326">
            <v>3</v>
          </cell>
          <cell r="D326">
            <v>42640</v>
          </cell>
          <cell r="E326">
            <v>42642</v>
          </cell>
          <cell r="F326" t="str">
            <v>Dir 5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 t="str">
            <v>x</v>
          </cell>
          <cell r="L326">
            <v>0</v>
          </cell>
          <cell r="M326">
            <v>42644</v>
          </cell>
          <cell r="N326">
            <v>42674</v>
          </cell>
          <cell r="O326">
            <v>10</v>
          </cell>
          <cell r="P326" t="str">
            <v>x</v>
          </cell>
          <cell r="Q326" t="str">
            <v>kbO Warschauer Brücke</v>
          </cell>
          <cell r="R326">
            <v>0</v>
          </cell>
        </row>
        <row r="327">
          <cell r="B327" t="str">
            <v>16-10-8318</v>
          </cell>
          <cell r="C327">
            <v>3</v>
          </cell>
          <cell r="D327">
            <v>42640</v>
          </cell>
          <cell r="E327">
            <v>42642</v>
          </cell>
          <cell r="F327" t="str">
            <v>Dir 6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 t="str">
            <v>x</v>
          </cell>
          <cell r="M327">
            <v>42644</v>
          </cell>
          <cell r="N327">
            <v>42674</v>
          </cell>
          <cell r="O327">
            <v>10</v>
          </cell>
          <cell r="P327" t="str">
            <v>x</v>
          </cell>
          <cell r="Q327" t="str">
            <v>Wohnraumeinbruch</v>
          </cell>
          <cell r="R327">
            <v>0</v>
          </cell>
        </row>
        <row r="328">
          <cell r="B328" t="str">
            <v>16-10-8319</v>
          </cell>
          <cell r="C328">
            <v>3</v>
          </cell>
          <cell r="D328">
            <v>42640</v>
          </cell>
          <cell r="E328">
            <v>42642</v>
          </cell>
          <cell r="F328" t="str">
            <v>Dir 6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 t="str">
            <v>x</v>
          </cell>
          <cell r="M328">
            <v>42644</v>
          </cell>
          <cell r="N328">
            <v>42674</v>
          </cell>
          <cell r="O328">
            <v>10</v>
          </cell>
          <cell r="P328" t="str">
            <v>x</v>
          </cell>
          <cell r="Q328" t="str">
            <v>KfZ - Diebstahl</v>
          </cell>
          <cell r="R328">
            <v>0</v>
          </cell>
        </row>
        <row r="329">
          <cell r="B329" t="str">
            <v>16-10-8320</v>
          </cell>
          <cell r="C329">
            <v>3</v>
          </cell>
          <cell r="D329">
            <v>42640</v>
          </cell>
          <cell r="E329">
            <v>42642</v>
          </cell>
          <cell r="F329" t="str">
            <v>Dir 6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 t="str">
            <v>x</v>
          </cell>
          <cell r="M329">
            <v>42644</v>
          </cell>
          <cell r="N329">
            <v>42674</v>
          </cell>
          <cell r="O329">
            <v>10</v>
          </cell>
          <cell r="P329" t="str">
            <v>x</v>
          </cell>
          <cell r="Q329" t="str">
            <v>IGA Sachbeschädigung</v>
          </cell>
          <cell r="R329">
            <v>0</v>
          </cell>
        </row>
        <row r="330">
          <cell r="B330" t="str">
            <v>16-10-8421</v>
          </cell>
          <cell r="C330">
            <v>4</v>
          </cell>
          <cell r="D330">
            <v>42640</v>
          </cell>
          <cell r="E330">
            <v>42642</v>
          </cell>
          <cell r="F330" t="str">
            <v>LKA St 12</v>
          </cell>
          <cell r="G330" t="str">
            <v>x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42644</v>
          </cell>
          <cell r="N330">
            <v>42674</v>
          </cell>
          <cell r="O330">
            <v>10</v>
          </cell>
          <cell r="P330">
            <v>0</v>
          </cell>
          <cell r="Q330" t="str">
            <v>Fahrraddiebstahl A 16</v>
          </cell>
          <cell r="R330" t="str">
            <v>Schirmkonzeption</v>
          </cell>
        </row>
        <row r="331">
          <cell r="B331" t="str">
            <v>16-10-8422</v>
          </cell>
          <cell r="C331">
            <v>4</v>
          </cell>
          <cell r="D331">
            <v>42640</v>
          </cell>
          <cell r="E331">
            <v>42642</v>
          </cell>
          <cell r="F331" t="str">
            <v>LKA St 12</v>
          </cell>
          <cell r="G331">
            <v>0</v>
          </cell>
          <cell r="H331">
            <v>0</v>
          </cell>
          <cell r="I331" t="str">
            <v>x</v>
          </cell>
          <cell r="J331">
            <v>0</v>
          </cell>
          <cell r="K331" t="str">
            <v>x</v>
          </cell>
          <cell r="L331">
            <v>0</v>
          </cell>
          <cell r="M331">
            <v>42644</v>
          </cell>
          <cell r="N331">
            <v>42674</v>
          </cell>
          <cell r="O331">
            <v>10</v>
          </cell>
          <cell r="P331">
            <v>0</v>
          </cell>
          <cell r="Q331" t="str">
            <v>Antänzer LKA 26</v>
          </cell>
          <cell r="R331" t="str">
            <v>Schirmkonzeption</v>
          </cell>
        </row>
        <row r="332">
          <cell r="B332" t="str">
            <v>16-10-8423</v>
          </cell>
          <cell r="C332">
            <v>4</v>
          </cell>
          <cell r="D332">
            <v>42640</v>
          </cell>
          <cell r="E332">
            <v>42642</v>
          </cell>
          <cell r="F332" t="str">
            <v>LKA St 12</v>
          </cell>
          <cell r="G332">
            <v>0</v>
          </cell>
          <cell r="H332">
            <v>0</v>
          </cell>
          <cell r="I332" t="str">
            <v>x</v>
          </cell>
          <cell r="J332">
            <v>0</v>
          </cell>
          <cell r="K332">
            <v>0</v>
          </cell>
          <cell r="L332">
            <v>0</v>
          </cell>
          <cell r="M332">
            <v>42644</v>
          </cell>
          <cell r="N332">
            <v>42674</v>
          </cell>
          <cell r="O332">
            <v>10</v>
          </cell>
          <cell r="P332">
            <v>0</v>
          </cell>
          <cell r="Q332" t="str">
            <v>StraßenKriPo LKA 26</v>
          </cell>
          <cell r="R332" t="str">
            <v>Schirmkonzeption</v>
          </cell>
        </row>
        <row r="333">
          <cell r="B333" t="str">
            <v>16-10-8424</v>
          </cell>
          <cell r="C333">
            <v>4</v>
          </cell>
          <cell r="D333">
            <v>42640</v>
          </cell>
          <cell r="E333">
            <v>42642</v>
          </cell>
          <cell r="F333" t="str">
            <v>LKA St 12</v>
          </cell>
          <cell r="G333" t="str">
            <v>x</v>
          </cell>
          <cell r="H333" t="str">
            <v>x</v>
          </cell>
          <cell r="I333" t="str">
            <v>x</v>
          </cell>
          <cell r="J333" t="str">
            <v>x</v>
          </cell>
          <cell r="K333" t="str">
            <v>x</v>
          </cell>
          <cell r="L333" t="str">
            <v>x</v>
          </cell>
          <cell r="M333">
            <v>42644</v>
          </cell>
          <cell r="N333">
            <v>42674</v>
          </cell>
          <cell r="O333">
            <v>10</v>
          </cell>
          <cell r="P333">
            <v>0</v>
          </cell>
          <cell r="Q333" t="str">
            <v>Taschendiebstahl präv. LKA 26</v>
          </cell>
          <cell r="R333" t="str">
            <v>Schirmkonzeption</v>
          </cell>
        </row>
        <row r="334">
          <cell r="B334" t="str">
            <v>16-10-8425</v>
          </cell>
          <cell r="C334">
            <v>4</v>
          </cell>
          <cell r="D334">
            <v>42640</v>
          </cell>
          <cell r="E334">
            <v>42642</v>
          </cell>
          <cell r="F334" t="str">
            <v xml:space="preserve">Dir 1 </v>
          </cell>
          <cell r="G334" t="str">
            <v>x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42644</v>
          </cell>
          <cell r="N334">
            <v>42674</v>
          </cell>
          <cell r="O334">
            <v>10</v>
          </cell>
          <cell r="P334" t="str">
            <v>x</v>
          </cell>
          <cell r="Q334" t="str">
            <v>Reinickendorf Ost</v>
          </cell>
          <cell r="R334">
            <v>0</v>
          </cell>
        </row>
        <row r="335">
          <cell r="B335" t="str">
            <v>16-10-8426</v>
          </cell>
          <cell r="C335">
            <v>4</v>
          </cell>
          <cell r="D335">
            <v>42640</v>
          </cell>
          <cell r="E335">
            <v>42642</v>
          </cell>
          <cell r="F335" t="str">
            <v>Dir 4</v>
          </cell>
          <cell r="G335">
            <v>0</v>
          </cell>
          <cell r="H335">
            <v>0</v>
          </cell>
          <cell r="I335">
            <v>0</v>
          </cell>
          <cell r="J335" t="str">
            <v>x</v>
          </cell>
          <cell r="K335">
            <v>0</v>
          </cell>
          <cell r="L335">
            <v>0</v>
          </cell>
          <cell r="M335">
            <v>42644</v>
          </cell>
          <cell r="N335">
            <v>42674</v>
          </cell>
          <cell r="O335">
            <v>10</v>
          </cell>
          <cell r="P335" t="str">
            <v>x</v>
          </cell>
          <cell r="Q335" t="str">
            <v>kbO Schöneberg Nord</v>
          </cell>
          <cell r="R335">
            <v>0</v>
          </cell>
        </row>
        <row r="336">
          <cell r="B336" t="str">
            <v>16-10-8427</v>
          </cell>
          <cell r="C336">
            <v>4</v>
          </cell>
          <cell r="D336">
            <v>42640</v>
          </cell>
          <cell r="E336">
            <v>42642</v>
          </cell>
          <cell r="F336" t="str">
            <v>Dir 5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 t="str">
            <v>x</v>
          </cell>
          <cell r="L336">
            <v>0</v>
          </cell>
          <cell r="M336">
            <v>42644</v>
          </cell>
          <cell r="N336">
            <v>42674</v>
          </cell>
          <cell r="O336">
            <v>10</v>
          </cell>
          <cell r="P336" t="str">
            <v>x</v>
          </cell>
          <cell r="Q336" t="str">
            <v>kbO Kottbusser Tor</v>
          </cell>
          <cell r="R336">
            <v>0</v>
          </cell>
        </row>
        <row r="337">
          <cell r="B337" t="str">
            <v>16-10-8428</v>
          </cell>
          <cell r="C337">
            <v>4</v>
          </cell>
          <cell r="D337">
            <v>42640</v>
          </cell>
          <cell r="E337">
            <v>42642</v>
          </cell>
          <cell r="F337" t="str">
            <v>Dir 5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 t="str">
            <v>x</v>
          </cell>
          <cell r="L337">
            <v>0</v>
          </cell>
          <cell r="M337">
            <v>42644</v>
          </cell>
          <cell r="N337">
            <v>42674</v>
          </cell>
          <cell r="O337">
            <v>10</v>
          </cell>
          <cell r="P337" t="str">
            <v>x</v>
          </cell>
          <cell r="Q337" t="str">
            <v>kbO Hermannstr.</v>
          </cell>
          <cell r="R337">
            <v>0</v>
          </cell>
        </row>
        <row r="338">
          <cell r="B338" t="str">
            <v>16-10-8229</v>
          </cell>
          <cell r="C338">
            <v>2</v>
          </cell>
          <cell r="D338">
            <v>42640</v>
          </cell>
          <cell r="E338">
            <v>42642</v>
          </cell>
          <cell r="F338" t="str">
            <v xml:space="preserve">Dir 5 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 t="str">
            <v>x</v>
          </cell>
          <cell r="L338">
            <v>0</v>
          </cell>
          <cell r="M338">
            <v>42644</v>
          </cell>
          <cell r="N338">
            <v>42674</v>
          </cell>
          <cell r="O338">
            <v>10</v>
          </cell>
          <cell r="P338">
            <v>0</v>
          </cell>
          <cell r="Q338" t="str">
            <v>kbO Rigaer Str.</v>
          </cell>
          <cell r="R338">
            <v>0</v>
          </cell>
        </row>
        <row r="339"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 t="str">
            <v>x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42675</v>
          </cell>
          <cell r="N339">
            <v>42704</v>
          </cell>
          <cell r="O339">
            <v>11</v>
          </cell>
          <cell r="P339">
            <v>0</v>
          </cell>
          <cell r="Q339" t="str">
            <v>Focus City West</v>
          </cell>
          <cell r="R339">
            <v>0</v>
          </cell>
        </row>
        <row r="340"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 t="str">
            <v>x</v>
          </cell>
          <cell r="J340">
            <v>0</v>
          </cell>
          <cell r="K340">
            <v>0</v>
          </cell>
          <cell r="L340">
            <v>0</v>
          </cell>
          <cell r="M340">
            <v>42675</v>
          </cell>
          <cell r="N340">
            <v>42704</v>
          </cell>
          <cell r="O340">
            <v>11</v>
          </cell>
          <cell r="P340">
            <v>0</v>
          </cell>
          <cell r="Q340" t="str">
            <v>Sichere Mitte</v>
          </cell>
          <cell r="R340">
            <v>0</v>
          </cell>
        </row>
        <row r="341"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 t="str">
            <v>x</v>
          </cell>
          <cell r="J341">
            <v>0</v>
          </cell>
          <cell r="K341">
            <v>0</v>
          </cell>
          <cell r="L341">
            <v>0</v>
          </cell>
          <cell r="M341">
            <v>42675</v>
          </cell>
          <cell r="N341">
            <v>42704</v>
          </cell>
          <cell r="O341">
            <v>11</v>
          </cell>
          <cell r="P341">
            <v>0</v>
          </cell>
          <cell r="Q341" t="str">
            <v>kbO Kleiner Tiergarten</v>
          </cell>
          <cell r="R341">
            <v>0</v>
          </cell>
        </row>
        <row r="342"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 t="str">
            <v>x</v>
          </cell>
          <cell r="L342">
            <v>0</v>
          </cell>
          <cell r="M342">
            <v>42675</v>
          </cell>
          <cell r="N342">
            <v>42704</v>
          </cell>
          <cell r="O342">
            <v>11</v>
          </cell>
          <cell r="P342">
            <v>0</v>
          </cell>
          <cell r="Q342" t="str">
            <v>kbO Warschauer Brücke - Kottbusser Tor</v>
          </cell>
          <cell r="R342">
            <v>0</v>
          </cell>
        </row>
        <row r="343"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 t="str">
            <v>x</v>
          </cell>
          <cell r="L343">
            <v>0</v>
          </cell>
          <cell r="M343">
            <v>42675</v>
          </cell>
          <cell r="N343">
            <v>42704</v>
          </cell>
          <cell r="O343">
            <v>11</v>
          </cell>
          <cell r="P343">
            <v>0</v>
          </cell>
          <cell r="Q343" t="str">
            <v>kbO Rigaer Str.</v>
          </cell>
          <cell r="R343">
            <v>0</v>
          </cell>
        </row>
        <row r="344"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 t="str">
            <v>Glücksspiel</v>
          </cell>
          <cell r="R344">
            <v>0</v>
          </cell>
        </row>
        <row r="345"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 t="str">
            <v>x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42675</v>
          </cell>
          <cell r="N345">
            <v>42704</v>
          </cell>
          <cell r="O345">
            <v>11</v>
          </cell>
          <cell r="P345" t="str">
            <v>x</v>
          </cell>
          <cell r="Q345" t="str">
            <v>kbO Stuttgarter Platz</v>
          </cell>
          <cell r="R345">
            <v>0</v>
          </cell>
        </row>
        <row r="346"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 t="str">
            <v>x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42675</v>
          </cell>
          <cell r="N346">
            <v>42704</v>
          </cell>
          <cell r="O346">
            <v>11</v>
          </cell>
          <cell r="P346" t="str">
            <v>x</v>
          </cell>
          <cell r="Q346" t="str">
            <v>ZOB/ Kaiserdamm</v>
          </cell>
          <cell r="R346">
            <v>0</v>
          </cell>
        </row>
        <row r="347"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 t="str">
            <v>x</v>
          </cell>
          <cell r="J347">
            <v>0</v>
          </cell>
          <cell r="K347">
            <v>0</v>
          </cell>
          <cell r="L347">
            <v>0</v>
          </cell>
          <cell r="M347">
            <v>42675</v>
          </cell>
          <cell r="N347">
            <v>42704</v>
          </cell>
          <cell r="O347">
            <v>11</v>
          </cell>
          <cell r="P347" t="str">
            <v>x</v>
          </cell>
          <cell r="Q347" t="str">
            <v>allgemeine KB</v>
          </cell>
          <cell r="R347">
            <v>0</v>
          </cell>
        </row>
        <row r="348"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 t="str">
            <v>x</v>
          </cell>
          <cell r="J348">
            <v>0</v>
          </cell>
          <cell r="K348">
            <v>0</v>
          </cell>
          <cell r="L348">
            <v>0</v>
          </cell>
          <cell r="M348">
            <v>42675</v>
          </cell>
          <cell r="N348">
            <v>42704</v>
          </cell>
          <cell r="O348">
            <v>11</v>
          </cell>
          <cell r="P348" t="str">
            <v>x</v>
          </cell>
          <cell r="Q348" t="str">
            <v>kbO Leopoldplatz</v>
          </cell>
          <cell r="R348">
            <v>0</v>
          </cell>
        </row>
        <row r="349"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 t="str">
            <v>x</v>
          </cell>
          <cell r="J349">
            <v>0</v>
          </cell>
          <cell r="K349">
            <v>0</v>
          </cell>
          <cell r="L349">
            <v>0</v>
          </cell>
          <cell r="M349">
            <v>42675</v>
          </cell>
          <cell r="N349">
            <v>42704</v>
          </cell>
          <cell r="O349">
            <v>11</v>
          </cell>
          <cell r="P349" t="str">
            <v>x</v>
          </cell>
          <cell r="Q349" t="str">
            <v>Tiergarten Süd</v>
          </cell>
          <cell r="R349">
            <v>0</v>
          </cell>
        </row>
        <row r="350"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 t="str">
            <v>x</v>
          </cell>
          <cell r="J350">
            <v>0</v>
          </cell>
          <cell r="K350">
            <v>0</v>
          </cell>
          <cell r="L350">
            <v>0</v>
          </cell>
          <cell r="M350">
            <v>42675</v>
          </cell>
          <cell r="N350">
            <v>42704</v>
          </cell>
          <cell r="O350">
            <v>11</v>
          </cell>
          <cell r="P350" t="str">
            <v>x</v>
          </cell>
          <cell r="Q350" t="str">
            <v>Spendensammelbetrug</v>
          </cell>
          <cell r="R350">
            <v>0</v>
          </cell>
        </row>
        <row r="351"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 t="str">
            <v>x</v>
          </cell>
          <cell r="K351">
            <v>0</v>
          </cell>
          <cell r="L351">
            <v>0</v>
          </cell>
          <cell r="M351">
            <v>42675</v>
          </cell>
          <cell r="N351">
            <v>42704</v>
          </cell>
          <cell r="O351">
            <v>11</v>
          </cell>
          <cell r="P351" t="str">
            <v>x</v>
          </cell>
          <cell r="Q351" t="str">
            <v>Lokalkontrollen Schöneberg-Nord</v>
          </cell>
          <cell r="R351">
            <v>0</v>
          </cell>
        </row>
        <row r="352"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 t="str">
            <v>x</v>
          </cell>
          <cell r="K352">
            <v>0</v>
          </cell>
          <cell r="L352">
            <v>0</v>
          </cell>
          <cell r="M352">
            <v>42675</v>
          </cell>
          <cell r="N352">
            <v>42704</v>
          </cell>
          <cell r="O352">
            <v>11</v>
          </cell>
          <cell r="P352" t="str">
            <v>x</v>
          </cell>
          <cell r="Q352" t="str">
            <v>Wohnraumeinbruch</v>
          </cell>
          <cell r="R352">
            <v>0</v>
          </cell>
        </row>
        <row r="353"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 t="str">
            <v>x</v>
          </cell>
          <cell r="L353">
            <v>0</v>
          </cell>
          <cell r="M353">
            <v>42675</v>
          </cell>
          <cell r="N353">
            <v>42704</v>
          </cell>
          <cell r="O353">
            <v>11</v>
          </cell>
          <cell r="P353" t="str">
            <v>x</v>
          </cell>
          <cell r="Q353" t="str">
            <v>kbO Kottbusser Tor</v>
          </cell>
          <cell r="R353">
            <v>0</v>
          </cell>
        </row>
        <row r="354"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 t="str">
            <v>x</v>
          </cell>
          <cell r="L354">
            <v>0</v>
          </cell>
          <cell r="M354">
            <v>42675</v>
          </cell>
          <cell r="N354">
            <v>42704</v>
          </cell>
          <cell r="O354">
            <v>11</v>
          </cell>
          <cell r="P354" t="str">
            <v>x</v>
          </cell>
          <cell r="Q354" t="str">
            <v>kbO Hermannplatz</v>
          </cell>
          <cell r="R354">
            <v>0</v>
          </cell>
        </row>
        <row r="355"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 t="str">
            <v>x</v>
          </cell>
          <cell r="M355">
            <v>42675</v>
          </cell>
          <cell r="N355">
            <v>42704</v>
          </cell>
          <cell r="O355">
            <v>11</v>
          </cell>
          <cell r="P355" t="str">
            <v>x</v>
          </cell>
          <cell r="Q355" t="str">
            <v>Wohnraumeinbruch</v>
          </cell>
          <cell r="R355">
            <v>0</v>
          </cell>
        </row>
        <row r="356"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 t="str">
            <v>x</v>
          </cell>
          <cell r="M356">
            <v>42675</v>
          </cell>
          <cell r="N356">
            <v>42704</v>
          </cell>
          <cell r="O356">
            <v>11</v>
          </cell>
          <cell r="P356" t="str">
            <v>x</v>
          </cell>
          <cell r="Q356" t="str">
            <v>KfZ - Diebstahl</v>
          </cell>
          <cell r="R356">
            <v>0</v>
          </cell>
        </row>
        <row r="357"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 t="str">
            <v>x</v>
          </cell>
          <cell r="M357">
            <v>42675</v>
          </cell>
          <cell r="N357">
            <v>42704</v>
          </cell>
          <cell r="O357">
            <v>11</v>
          </cell>
          <cell r="P357" t="str">
            <v>x</v>
          </cell>
          <cell r="Q357" t="str">
            <v>IGA Sachbeschädigung</v>
          </cell>
          <cell r="R357">
            <v>0</v>
          </cell>
        </row>
        <row r="358"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42675</v>
          </cell>
          <cell r="N358">
            <v>42704</v>
          </cell>
          <cell r="O358">
            <v>11</v>
          </cell>
          <cell r="P358">
            <v>0</v>
          </cell>
          <cell r="Q358" t="str">
            <v>Taschendiebstahl LKA 26</v>
          </cell>
          <cell r="R358" t="str">
            <v>Schirmkonzeption</v>
          </cell>
        </row>
        <row r="359"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 t="str">
            <v>x</v>
          </cell>
          <cell r="J359">
            <v>0</v>
          </cell>
          <cell r="K359">
            <v>0</v>
          </cell>
          <cell r="L359">
            <v>0</v>
          </cell>
          <cell r="M359">
            <v>42675</v>
          </cell>
          <cell r="N359">
            <v>42704</v>
          </cell>
          <cell r="O359">
            <v>11</v>
          </cell>
          <cell r="P359">
            <v>0</v>
          </cell>
          <cell r="Q359" t="str">
            <v>StraßenKriPo LKA 26</v>
          </cell>
          <cell r="R359" t="str">
            <v>Schirmkonzeption</v>
          </cell>
        </row>
        <row r="360"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42675</v>
          </cell>
          <cell r="N360">
            <v>42704</v>
          </cell>
          <cell r="O360">
            <v>11</v>
          </cell>
          <cell r="P360">
            <v>0</v>
          </cell>
          <cell r="Q360" t="str">
            <v>Fahrraddiebstahl A 16</v>
          </cell>
          <cell r="R360" t="str">
            <v>Schirmkonzeption</v>
          </cell>
        </row>
        <row r="361"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42675</v>
          </cell>
          <cell r="N361">
            <v>42704</v>
          </cell>
          <cell r="O361">
            <v>11</v>
          </cell>
          <cell r="P361" t="str">
            <v>x</v>
          </cell>
          <cell r="Q361" t="str">
            <v>Mauerpark</v>
          </cell>
          <cell r="R361">
            <v>0</v>
          </cell>
        </row>
        <row r="362"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42675</v>
          </cell>
          <cell r="N362">
            <v>42704</v>
          </cell>
          <cell r="O362">
            <v>11</v>
          </cell>
          <cell r="P362" t="str">
            <v>x</v>
          </cell>
          <cell r="Q362" t="str">
            <v>Verwahrlosung</v>
          </cell>
          <cell r="R362">
            <v>0</v>
          </cell>
        </row>
        <row r="363"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42675</v>
          </cell>
          <cell r="N363">
            <v>42704</v>
          </cell>
          <cell r="O363">
            <v>11</v>
          </cell>
          <cell r="P363" t="str">
            <v>x</v>
          </cell>
          <cell r="Q363" t="str">
            <v>Wohnraumeinbruch</v>
          </cell>
          <cell r="R363">
            <v>0</v>
          </cell>
        </row>
        <row r="364"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 t="str">
            <v>x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42675</v>
          </cell>
          <cell r="N364">
            <v>42704</v>
          </cell>
          <cell r="O364">
            <v>11</v>
          </cell>
          <cell r="P364" t="str">
            <v>x</v>
          </cell>
          <cell r="Q364" t="str">
            <v>kbO Stuttgarter Platz</v>
          </cell>
          <cell r="R364">
            <v>0</v>
          </cell>
        </row>
        <row r="365">
          <cell r="B365" t="str">
            <v>16-11-8427</v>
          </cell>
          <cell r="C365">
            <v>4</v>
          </cell>
          <cell r="D365">
            <v>42661</v>
          </cell>
          <cell r="E365">
            <v>42674</v>
          </cell>
          <cell r="F365" t="str">
            <v>Dir 2</v>
          </cell>
          <cell r="H365" t="str">
            <v>x</v>
          </cell>
          <cell r="M365">
            <v>42675</v>
          </cell>
          <cell r="N365">
            <v>42704</v>
          </cell>
          <cell r="O365">
            <v>11</v>
          </cell>
          <cell r="P365" t="str">
            <v>x</v>
          </cell>
          <cell r="Q365" t="str">
            <v>ZOB/ Kaiserdamm</v>
          </cell>
        </row>
        <row r="366">
          <cell r="B366" t="str">
            <v>16-11-8428</v>
          </cell>
          <cell r="C366">
            <v>4</v>
          </cell>
          <cell r="D366">
            <v>42661</v>
          </cell>
          <cell r="E366">
            <v>42674</v>
          </cell>
          <cell r="F366" t="str">
            <v>Dir 4</v>
          </cell>
          <cell r="J366" t="str">
            <v>x</v>
          </cell>
          <cell r="M366">
            <v>42675</v>
          </cell>
          <cell r="N366">
            <v>42704</v>
          </cell>
          <cell r="O366">
            <v>11</v>
          </cell>
          <cell r="P366" t="str">
            <v>x</v>
          </cell>
          <cell r="Q366" t="str">
            <v>kbO Schöneberg Nord</v>
          </cell>
        </row>
        <row r="367">
          <cell r="B367" t="str">
            <v>16-11-8429</v>
          </cell>
          <cell r="C367">
            <v>4</v>
          </cell>
          <cell r="D367">
            <v>42661</v>
          </cell>
          <cell r="E367">
            <v>42674</v>
          </cell>
          <cell r="F367" t="str">
            <v>Dir 4</v>
          </cell>
          <cell r="J367" t="str">
            <v>x</v>
          </cell>
          <cell r="M367">
            <v>42675</v>
          </cell>
          <cell r="N367">
            <v>42704</v>
          </cell>
          <cell r="O367">
            <v>11</v>
          </cell>
          <cell r="P367" t="str">
            <v>x</v>
          </cell>
          <cell r="Q367" t="str">
            <v>Wohnraumeinbruch</v>
          </cell>
        </row>
        <row r="368">
          <cell r="B368" t="str">
            <v>16-11-8430</v>
          </cell>
          <cell r="C368">
            <v>4</v>
          </cell>
          <cell r="D368">
            <v>42661</v>
          </cell>
          <cell r="E368">
            <v>42674</v>
          </cell>
          <cell r="F368" t="str">
            <v>Dir 5</v>
          </cell>
          <cell r="K368" t="str">
            <v>x</v>
          </cell>
          <cell r="M368">
            <v>42675</v>
          </cell>
          <cell r="N368">
            <v>42704</v>
          </cell>
          <cell r="O368">
            <v>11</v>
          </cell>
          <cell r="P368" t="str">
            <v>x</v>
          </cell>
          <cell r="Q368" t="str">
            <v>kbO Görlitzer Park</v>
          </cell>
        </row>
        <row r="369">
          <cell r="B369" t="str">
            <v>16-11-8431</v>
          </cell>
          <cell r="C369">
            <v>4</v>
          </cell>
          <cell r="D369">
            <v>42661</v>
          </cell>
          <cell r="E369">
            <v>42674</v>
          </cell>
          <cell r="F369" t="str">
            <v>Dir 5</v>
          </cell>
          <cell r="K369" t="str">
            <v>x</v>
          </cell>
          <cell r="M369">
            <v>42675</v>
          </cell>
          <cell r="N369">
            <v>42704</v>
          </cell>
          <cell r="O369">
            <v>11</v>
          </cell>
          <cell r="P369" t="str">
            <v>x</v>
          </cell>
          <cell r="Q369" t="str">
            <v>BtM-Haseneheide</v>
          </cell>
        </row>
        <row r="370">
          <cell r="B370" t="str">
            <v>16-11-8432</v>
          </cell>
          <cell r="C370">
            <v>4</v>
          </cell>
          <cell r="D370">
            <v>42661</v>
          </cell>
          <cell r="E370">
            <v>42674</v>
          </cell>
          <cell r="F370" t="str">
            <v>Dir 6</v>
          </cell>
          <cell r="L370" t="str">
            <v>x</v>
          </cell>
          <cell r="M370">
            <v>42675</v>
          </cell>
          <cell r="N370">
            <v>42704</v>
          </cell>
          <cell r="O370">
            <v>11</v>
          </cell>
          <cell r="P370" t="str">
            <v>x</v>
          </cell>
          <cell r="Q370" t="str">
            <v>BtM-Kriminalität</v>
          </cell>
        </row>
        <row r="371">
          <cell r="B371" t="str">
            <v>16-11-8333</v>
          </cell>
          <cell r="C371">
            <v>3</v>
          </cell>
          <cell r="D371">
            <v>42675</v>
          </cell>
          <cell r="E371">
            <v>42675</v>
          </cell>
          <cell r="F371" t="str">
            <v>Dir 3</v>
          </cell>
          <cell r="I371" t="str">
            <v>x</v>
          </cell>
          <cell r="M371">
            <v>42675</v>
          </cell>
          <cell r="N371">
            <v>42704</v>
          </cell>
          <cell r="O371">
            <v>11</v>
          </cell>
          <cell r="P371" t="str">
            <v>x</v>
          </cell>
          <cell r="Q371" t="str">
            <v>Wohnraumeinbruch</v>
          </cell>
          <cell r="R371" t="str">
            <v>vorläufige Priorisierung</v>
          </cell>
        </row>
      </sheetData>
      <sheetData sheetId="1" refreshError="1">
        <row r="1">
          <cell r="A1">
            <v>0</v>
          </cell>
          <cell r="B1">
            <v>0</v>
          </cell>
          <cell r="C1">
            <v>0</v>
          </cell>
          <cell r="D1">
            <v>0</v>
          </cell>
          <cell r="E1">
            <v>0</v>
          </cell>
          <cell r="F1">
            <v>0</v>
          </cell>
          <cell r="G1" t="str">
            <v>Örtlichkeit</v>
          </cell>
          <cell r="H1">
            <v>0</v>
          </cell>
          <cell r="I1">
            <v>0</v>
          </cell>
          <cell r="J1">
            <v>0</v>
          </cell>
          <cell r="K1">
            <v>0</v>
          </cell>
          <cell r="L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Q1">
            <v>0</v>
          </cell>
          <cell r="R1">
            <v>0</v>
          </cell>
        </row>
        <row r="2">
          <cell r="B2" t="str">
            <v>Einsatzzahl</v>
          </cell>
          <cell r="C2" t="str">
            <v>Priorität</v>
          </cell>
          <cell r="D2" t="str">
            <v>Eingang
bei St FüU
(Datum)</v>
          </cell>
          <cell r="E2" t="str">
            <v>Einstellung im 
Einsatzkalender</v>
          </cell>
          <cell r="F2" t="str">
            <v>einreichende
Dst.</v>
          </cell>
          <cell r="G2" t="str">
            <v>Dir 1</v>
          </cell>
          <cell r="H2" t="str">
            <v>Dir 2</v>
          </cell>
          <cell r="I2" t="str">
            <v>Dir 3</v>
          </cell>
          <cell r="J2" t="str">
            <v>Dir 4</v>
          </cell>
          <cell r="K2" t="str">
            <v>Dir 5</v>
          </cell>
          <cell r="L2" t="str">
            <v>Dir 6</v>
          </cell>
          <cell r="M2" t="str">
            <v>Gültigkeit
von</v>
          </cell>
          <cell r="N2" t="str">
            <v>Gültigkeit
bis</v>
          </cell>
          <cell r="O2" t="str">
            <v>Gültigkeits-
monat</v>
          </cell>
          <cell r="P2" t="str">
            <v>Sockelbetrag
(x wenn ja)</v>
          </cell>
          <cell r="Q2" t="str">
            <v>Einsatzanlass</v>
          </cell>
          <cell r="R2" t="str">
            <v>Erledigungsvermerk/Bemerkung</v>
          </cell>
        </row>
        <row r="3">
          <cell r="B3" t="str">
            <v>16-02-8422</v>
          </cell>
          <cell r="C3">
            <v>4</v>
          </cell>
          <cell r="D3">
            <v>42389</v>
          </cell>
          <cell r="E3">
            <v>42389</v>
          </cell>
          <cell r="F3" t="str">
            <v>PPr St II 4</v>
          </cell>
          <cell r="G3" t="str">
            <v>x</v>
          </cell>
          <cell r="H3" t="str">
            <v>x</v>
          </cell>
          <cell r="I3" t="str">
            <v>x</v>
          </cell>
          <cell r="J3" t="str">
            <v>x</v>
          </cell>
          <cell r="K3" t="str">
            <v>x</v>
          </cell>
          <cell r="L3" t="str">
            <v>x</v>
          </cell>
          <cell r="M3">
            <v>42405</v>
          </cell>
          <cell r="N3">
            <v>42407</v>
          </cell>
          <cell r="O3">
            <v>2</v>
          </cell>
          <cell r="P3">
            <v>0</v>
          </cell>
          <cell r="Q3" t="str">
            <v>stadtweite Kontrollaktion Drogen/Alkohol</v>
          </cell>
          <cell r="R3" t="str">
            <v>Schirmkonzeption</v>
          </cell>
        </row>
        <row r="4">
          <cell r="B4" t="str">
            <v>16-02-8323</v>
          </cell>
          <cell r="C4">
            <v>3</v>
          </cell>
          <cell r="D4">
            <v>42395</v>
          </cell>
          <cell r="E4">
            <v>42395</v>
          </cell>
          <cell r="F4" t="str">
            <v>PPr St II 4</v>
          </cell>
          <cell r="G4">
            <v>0</v>
          </cell>
          <cell r="H4">
            <v>0</v>
          </cell>
          <cell r="I4" t="str">
            <v>x</v>
          </cell>
          <cell r="J4">
            <v>0</v>
          </cell>
          <cell r="K4">
            <v>0</v>
          </cell>
          <cell r="L4">
            <v>0</v>
          </cell>
          <cell r="M4">
            <v>42401</v>
          </cell>
          <cell r="N4">
            <v>42429</v>
          </cell>
          <cell r="O4">
            <v>2</v>
          </cell>
          <cell r="P4">
            <v>0</v>
          </cell>
          <cell r="Q4" t="str">
            <v>Abbiegen/Vorfahrt A 35</v>
          </cell>
          <cell r="R4" t="str">
            <v>Schirmkonzeption</v>
          </cell>
        </row>
        <row r="5">
          <cell r="B5" t="str">
            <v>16-02-8324</v>
          </cell>
          <cell r="C5">
            <v>3</v>
          </cell>
          <cell r="D5">
            <v>42395</v>
          </cell>
          <cell r="E5">
            <v>42395</v>
          </cell>
          <cell r="F5" t="str">
            <v>PPr St II 4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 t="str">
            <v>x</v>
          </cell>
          <cell r="L5">
            <v>0</v>
          </cell>
          <cell r="M5">
            <v>42401</v>
          </cell>
          <cell r="N5">
            <v>42429</v>
          </cell>
          <cell r="O5">
            <v>2</v>
          </cell>
          <cell r="P5">
            <v>0</v>
          </cell>
          <cell r="Q5" t="str">
            <v>Abbiegen A 53</v>
          </cell>
          <cell r="R5" t="str">
            <v>Schirmkonzeption</v>
          </cell>
        </row>
        <row r="6">
          <cell r="B6" t="str">
            <v>16-02-8425</v>
          </cell>
          <cell r="C6">
            <v>4</v>
          </cell>
          <cell r="D6">
            <v>42395</v>
          </cell>
          <cell r="E6">
            <v>42395</v>
          </cell>
          <cell r="F6" t="str">
            <v>Dir 6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 t="str">
            <v>x</v>
          </cell>
          <cell r="M6">
            <v>42401</v>
          </cell>
          <cell r="N6">
            <v>42429</v>
          </cell>
          <cell r="O6">
            <v>2</v>
          </cell>
          <cell r="P6" t="str">
            <v>x</v>
          </cell>
          <cell r="Q6" t="str">
            <v>Senioren A 65</v>
          </cell>
          <cell r="R6">
            <v>0</v>
          </cell>
        </row>
        <row r="7">
          <cell r="B7" t="str">
            <v>16-02-8426</v>
          </cell>
          <cell r="C7">
            <v>4</v>
          </cell>
          <cell r="D7">
            <v>42395</v>
          </cell>
          <cell r="E7">
            <v>42395</v>
          </cell>
          <cell r="F7" t="str">
            <v>Dir 6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 t="str">
            <v>x</v>
          </cell>
          <cell r="M7">
            <v>42401</v>
          </cell>
          <cell r="N7">
            <v>42429</v>
          </cell>
          <cell r="O7">
            <v>2</v>
          </cell>
          <cell r="P7" t="str">
            <v>x</v>
          </cell>
          <cell r="Q7" t="str">
            <v>Senioren A 66</v>
          </cell>
          <cell r="R7">
            <v>0</v>
          </cell>
        </row>
        <row r="8">
          <cell r="B8" t="str">
            <v>16-02-8227</v>
          </cell>
          <cell r="C8">
            <v>2</v>
          </cell>
          <cell r="D8">
            <v>42412</v>
          </cell>
          <cell r="E8">
            <v>42412</v>
          </cell>
          <cell r="F8" t="str">
            <v>PPr St II 4</v>
          </cell>
          <cell r="G8">
            <v>0</v>
          </cell>
          <cell r="H8" t="str">
            <v>x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42415</v>
          </cell>
          <cell r="N8">
            <v>42428</v>
          </cell>
          <cell r="O8">
            <v>2</v>
          </cell>
          <cell r="P8">
            <v>0</v>
          </cell>
          <cell r="Q8" t="str">
            <v>Profilierungsfahrten City West</v>
          </cell>
          <cell r="R8" t="str">
            <v>Schirmkonzeption</v>
          </cell>
        </row>
        <row r="9">
          <cell r="B9" t="str">
            <v>16-03-8229</v>
          </cell>
          <cell r="C9">
            <v>2</v>
          </cell>
          <cell r="D9">
            <v>42426</v>
          </cell>
          <cell r="E9">
            <v>42430</v>
          </cell>
          <cell r="F9" t="str">
            <v>PPr St II 4</v>
          </cell>
          <cell r="G9">
            <v>0</v>
          </cell>
          <cell r="H9" t="str">
            <v>x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42430</v>
          </cell>
          <cell r="N9">
            <v>42460</v>
          </cell>
          <cell r="O9">
            <v>3</v>
          </cell>
          <cell r="P9">
            <v>0</v>
          </cell>
          <cell r="Q9" t="str">
            <v>Profilierungsfahrten City West</v>
          </cell>
          <cell r="R9" t="str">
            <v>Schirmkonzeption</v>
          </cell>
        </row>
        <row r="10">
          <cell r="B10" t="str">
            <v>16-03-8330</v>
          </cell>
          <cell r="C10">
            <v>3</v>
          </cell>
          <cell r="D10">
            <v>42426</v>
          </cell>
          <cell r="E10">
            <v>42430</v>
          </cell>
          <cell r="F10" t="str">
            <v>PPr St II 4</v>
          </cell>
          <cell r="G10">
            <v>0</v>
          </cell>
          <cell r="H10">
            <v>0</v>
          </cell>
          <cell r="I10" t="str">
            <v>x</v>
          </cell>
          <cell r="J10">
            <v>0</v>
          </cell>
          <cell r="K10">
            <v>0</v>
          </cell>
          <cell r="L10">
            <v>0</v>
          </cell>
          <cell r="M10">
            <v>42430</v>
          </cell>
          <cell r="N10">
            <v>42460</v>
          </cell>
          <cell r="O10">
            <v>3</v>
          </cell>
          <cell r="P10">
            <v>0</v>
          </cell>
          <cell r="Q10" t="str">
            <v>Abbiegen/Vorfahrt A 35</v>
          </cell>
          <cell r="R10" t="str">
            <v>Schirmkonzeption</v>
          </cell>
        </row>
        <row r="11">
          <cell r="B11" t="str">
            <v>16-03-8331</v>
          </cell>
          <cell r="C11">
            <v>3</v>
          </cell>
          <cell r="D11">
            <v>42426</v>
          </cell>
          <cell r="E11">
            <v>42430</v>
          </cell>
          <cell r="F11" t="str">
            <v>Dir 5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 t="str">
            <v>x</v>
          </cell>
          <cell r="L11">
            <v>0</v>
          </cell>
          <cell r="M11">
            <v>42430</v>
          </cell>
          <cell r="N11">
            <v>42460</v>
          </cell>
          <cell r="O11">
            <v>3</v>
          </cell>
          <cell r="P11" t="str">
            <v>x</v>
          </cell>
          <cell r="Q11" t="str">
            <v>Abbiegen A 53/Schlesische Str.</v>
          </cell>
          <cell r="R11" t="str">
            <v>war im Februar eine Schirmkonzeption</v>
          </cell>
        </row>
        <row r="12">
          <cell r="B12" t="str">
            <v>16-03-8432</v>
          </cell>
          <cell r="C12">
            <v>4</v>
          </cell>
          <cell r="D12">
            <v>42426</v>
          </cell>
          <cell r="E12">
            <v>42430</v>
          </cell>
          <cell r="F12" t="str">
            <v>Dir 6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 t="str">
            <v>x</v>
          </cell>
          <cell r="M12">
            <v>42430</v>
          </cell>
          <cell r="N12">
            <v>42460</v>
          </cell>
          <cell r="O12">
            <v>3</v>
          </cell>
          <cell r="P12" t="str">
            <v>x</v>
          </cell>
          <cell r="Q12" t="str">
            <v>Senioren A 65</v>
          </cell>
          <cell r="R12">
            <v>0</v>
          </cell>
        </row>
        <row r="13">
          <cell r="B13" t="str">
            <v>16-03-8433</v>
          </cell>
          <cell r="C13">
            <v>4</v>
          </cell>
          <cell r="D13">
            <v>42426</v>
          </cell>
          <cell r="E13">
            <v>42430</v>
          </cell>
          <cell r="F13" t="str">
            <v>Dir 6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 t="str">
            <v>x</v>
          </cell>
          <cell r="M13">
            <v>42430</v>
          </cell>
          <cell r="N13">
            <v>42460</v>
          </cell>
          <cell r="O13">
            <v>3</v>
          </cell>
          <cell r="P13" t="str">
            <v>x</v>
          </cell>
          <cell r="Q13" t="str">
            <v>Senioren A 66</v>
          </cell>
          <cell r="R13">
            <v>0</v>
          </cell>
        </row>
        <row r="14">
          <cell r="B14" t="str">
            <v>16-04-8401</v>
          </cell>
          <cell r="C14">
            <v>4</v>
          </cell>
          <cell r="D14">
            <v>42440</v>
          </cell>
          <cell r="E14">
            <v>42460</v>
          </cell>
          <cell r="F14" t="str">
            <v>PPr St II 4</v>
          </cell>
          <cell r="G14" t="str">
            <v>x</v>
          </cell>
          <cell r="H14" t="str">
            <v>x</v>
          </cell>
          <cell r="I14" t="str">
            <v>x</v>
          </cell>
          <cell r="J14" t="str">
            <v>x</v>
          </cell>
          <cell r="K14" t="str">
            <v>x</v>
          </cell>
          <cell r="L14" t="str">
            <v>x</v>
          </cell>
          <cell r="M14">
            <v>42464</v>
          </cell>
          <cell r="N14">
            <v>42468</v>
          </cell>
          <cell r="O14">
            <v>4</v>
          </cell>
          <cell r="P14">
            <v>0</v>
          </cell>
          <cell r="Q14" t="str">
            <v>Radfahrersicherheit</v>
          </cell>
          <cell r="R14" t="str">
            <v>Schirmkonzeption</v>
          </cell>
        </row>
        <row r="15">
          <cell r="B15" t="str">
            <v>16-04-8233</v>
          </cell>
          <cell r="C15">
            <v>2</v>
          </cell>
          <cell r="D15">
            <v>42453</v>
          </cell>
          <cell r="E15">
            <v>42460</v>
          </cell>
          <cell r="F15" t="str">
            <v>PPr St II 4</v>
          </cell>
          <cell r="G15">
            <v>0</v>
          </cell>
          <cell r="H15" t="str">
            <v>x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42461</v>
          </cell>
          <cell r="N15">
            <v>42490</v>
          </cell>
          <cell r="O15">
            <v>4</v>
          </cell>
          <cell r="P15">
            <v>0</v>
          </cell>
          <cell r="Q15" t="str">
            <v>Profilierungsfahrten City West</v>
          </cell>
          <cell r="R15" t="str">
            <v>Schirmkonzeption</v>
          </cell>
        </row>
        <row r="16">
          <cell r="B16" t="str">
            <v>16-04-8334</v>
          </cell>
          <cell r="C16">
            <v>3</v>
          </cell>
          <cell r="D16">
            <v>42453</v>
          </cell>
          <cell r="E16">
            <v>42460</v>
          </cell>
          <cell r="F16" t="str">
            <v>PPr St II 4</v>
          </cell>
          <cell r="G16">
            <v>0</v>
          </cell>
          <cell r="H16">
            <v>0</v>
          </cell>
          <cell r="I16" t="str">
            <v>x</v>
          </cell>
          <cell r="J16">
            <v>0</v>
          </cell>
          <cell r="K16">
            <v>0</v>
          </cell>
          <cell r="L16">
            <v>0</v>
          </cell>
          <cell r="M16">
            <v>42461</v>
          </cell>
          <cell r="N16">
            <v>42490</v>
          </cell>
          <cell r="O16">
            <v>4</v>
          </cell>
          <cell r="P16">
            <v>0</v>
          </cell>
          <cell r="Q16" t="str">
            <v>Abbiegen/Vorfahrt A 35</v>
          </cell>
          <cell r="R16" t="str">
            <v>Schirmkonzeption</v>
          </cell>
        </row>
        <row r="17">
          <cell r="B17" t="str">
            <v>16-04-8335</v>
          </cell>
          <cell r="C17">
            <v>3</v>
          </cell>
          <cell r="D17">
            <v>42453</v>
          </cell>
          <cell r="E17">
            <v>42460</v>
          </cell>
          <cell r="F17" t="str">
            <v>Dir 2</v>
          </cell>
          <cell r="G17">
            <v>0</v>
          </cell>
          <cell r="H17" t="str">
            <v>x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42461</v>
          </cell>
          <cell r="N17">
            <v>42490</v>
          </cell>
          <cell r="O17">
            <v>4</v>
          </cell>
          <cell r="P17" t="str">
            <v>x</v>
          </cell>
          <cell r="Q17" t="str">
            <v>Tuningszene "B1 West"</v>
          </cell>
          <cell r="R17">
            <v>0</v>
          </cell>
        </row>
        <row r="18">
          <cell r="B18" t="str">
            <v>16-04-8336</v>
          </cell>
          <cell r="C18">
            <v>3</v>
          </cell>
          <cell r="D18">
            <v>42453</v>
          </cell>
          <cell r="E18">
            <v>42460</v>
          </cell>
          <cell r="F18" t="str">
            <v>Dir 6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 t="str">
            <v>x</v>
          </cell>
          <cell r="M18">
            <v>42461</v>
          </cell>
          <cell r="N18">
            <v>42490</v>
          </cell>
          <cell r="O18">
            <v>4</v>
          </cell>
          <cell r="P18" t="str">
            <v>x</v>
          </cell>
          <cell r="Q18" t="str">
            <v>Tuningszene "Alt-Mahlsdorf"</v>
          </cell>
          <cell r="R18">
            <v>0</v>
          </cell>
        </row>
        <row r="19">
          <cell r="B19" t="str">
            <v>16-04-8437</v>
          </cell>
          <cell r="C19">
            <v>4</v>
          </cell>
          <cell r="D19">
            <v>42453</v>
          </cell>
          <cell r="E19">
            <v>42460</v>
          </cell>
          <cell r="F19" t="str">
            <v>Dir 3</v>
          </cell>
          <cell r="G19">
            <v>0</v>
          </cell>
          <cell r="H19">
            <v>0</v>
          </cell>
          <cell r="I19" t="str">
            <v>x</v>
          </cell>
          <cell r="J19">
            <v>0</v>
          </cell>
          <cell r="K19">
            <v>0</v>
          </cell>
          <cell r="L19">
            <v>0</v>
          </cell>
          <cell r="M19">
            <v>42461</v>
          </cell>
          <cell r="N19">
            <v>42490</v>
          </cell>
          <cell r="O19">
            <v>4</v>
          </cell>
          <cell r="P19" t="str">
            <v>x</v>
          </cell>
          <cell r="Q19" t="str">
            <v>VU-Bekämpfung an örtl. Brennpunkten</v>
          </cell>
          <cell r="R19">
            <v>0</v>
          </cell>
        </row>
        <row r="20">
          <cell r="B20" t="str">
            <v>16-04-8238</v>
          </cell>
          <cell r="C20">
            <v>2</v>
          </cell>
          <cell r="D20">
            <v>42472</v>
          </cell>
          <cell r="E20">
            <v>42472</v>
          </cell>
          <cell r="F20" t="str">
            <v>PPr St II 4</v>
          </cell>
          <cell r="G20" t="str">
            <v>x</v>
          </cell>
          <cell r="H20" t="str">
            <v>x</v>
          </cell>
          <cell r="I20" t="str">
            <v>x</v>
          </cell>
          <cell r="J20" t="str">
            <v>x</v>
          </cell>
          <cell r="K20" t="str">
            <v>x</v>
          </cell>
          <cell r="L20" t="str">
            <v>x</v>
          </cell>
          <cell r="M20">
            <v>42481</v>
          </cell>
          <cell r="N20">
            <v>42481</v>
          </cell>
          <cell r="O20">
            <v>4</v>
          </cell>
          <cell r="P20">
            <v>0</v>
          </cell>
          <cell r="Q20" t="str">
            <v>Blitz-Marathon</v>
          </cell>
          <cell r="R20" t="str">
            <v>Schirmkonzeption nachgereicht am 12.04.</v>
          </cell>
        </row>
        <row r="21">
          <cell r="B21" t="str">
            <v>16-05-8242</v>
          </cell>
          <cell r="C21">
            <v>2</v>
          </cell>
          <cell r="D21">
            <v>42487</v>
          </cell>
          <cell r="E21">
            <v>42489</v>
          </cell>
          <cell r="F21" t="str">
            <v>PPr St II 4</v>
          </cell>
          <cell r="G21">
            <v>0</v>
          </cell>
          <cell r="H21" t="str">
            <v>x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42491</v>
          </cell>
          <cell r="N21">
            <v>42521</v>
          </cell>
          <cell r="O21">
            <v>5</v>
          </cell>
          <cell r="P21">
            <v>0</v>
          </cell>
          <cell r="Q21" t="str">
            <v>Profilierungsfahrten City West</v>
          </cell>
          <cell r="R21" t="str">
            <v>Schirmkonzeption</v>
          </cell>
        </row>
        <row r="22">
          <cell r="B22" t="str">
            <v>16-05-8343</v>
          </cell>
          <cell r="C22">
            <v>3</v>
          </cell>
          <cell r="D22">
            <v>42487</v>
          </cell>
          <cell r="E22">
            <v>42489</v>
          </cell>
          <cell r="F22" t="str">
            <v>Dir 1</v>
          </cell>
          <cell r="G22" t="str">
            <v>x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42491</v>
          </cell>
          <cell r="N22">
            <v>42521</v>
          </cell>
          <cell r="O22">
            <v>5</v>
          </cell>
          <cell r="P22" t="str">
            <v>x</v>
          </cell>
          <cell r="Q22" t="str">
            <v>Radfahrer im Prenzlberg</v>
          </cell>
          <cell r="R22">
            <v>0</v>
          </cell>
        </row>
        <row r="23">
          <cell r="B23" t="str">
            <v>16-05-8344</v>
          </cell>
          <cell r="C23">
            <v>3</v>
          </cell>
          <cell r="D23">
            <v>42487</v>
          </cell>
          <cell r="E23">
            <v>42489</v>
          </cell>
          <cell r="F23" t="str">
            <v>Dir 2</v>
          </cell>
          <cell r="G23">
            <v>0</v>
          </cell>
          <cell r="H23" t="str">
            <v>x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42491</v>
          </cell>
          <cell r="N23">
            <v>42521</v>
          </cell>
          <cell r="O23">
            <v>5</v>
          </cell>
          <cell r="P23" t="str">
            <v>x</v>
          </cell>
          <cell r="Q23" t="str">
            <v>Tuningszene "B1 West"</v>
          </cell>
          <cell r="R23">
            <v>0</v>
          </cell>
        </row>
        <row r="24">
          <cell r="B24" t="str">
            <v>16-05-8345</v>
          </cell>
          <cell r="C24">
            <v>3</v>
          </cell>
          <cell r="D24">
            <v>42487</v>
          </cell>
          <cell r="E24">
            <v>42489</v>
          </cell>
          <cell r="F24" t="str">
            <v>Dir 2</v>
          </cell>
          <cell r="G24">
            <v>0</v>
          </cell>
          <cell r="H24" t="str">
            <v>x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42491</v>
          </cell>
          <cell r="N24">
            <v>42521</v>
          </cell>
          <cell r="O24">
            <v>5</v>
          </cell>
          <cell r="P24" t="str">
            <v>x</v>
          </cell>
          <cell r="Q24" t="str">
            <v>VU-Bekämpfung an örtl. Brennpunkten</v>
          </cell>
          <cell r="R24">
            <v>0</v>
          </cell>
        </row>
        <row r="25">
          <cell r="B25" t="str">
            <v>16-05-8346</v>
          </cell>
          <cell r="C25">
            <v>3</v>
          </cell>
          <cell r="D25">
            <v>42487</v>
          </cell>
          <cell r="E25">
            <v>42489</v>
          </cell>
          <cell r="F25" t="str">
            <v>PPr St II 4</v>
          </cell>
          <cell r="G25">
            <v>0</v>
          </cell>
          <cell r="H25">
            <v>0</v>
          </cell>
          <cell r="I25" t="str">
            <v>x</v>
          </cell>
          <cell r="J25">
            <v>0</v>
          </cell>
          <cell r="K25">
            <v>0</v>
          </cell>
          <cell r="L25">
            <v>0</v>
          </cell>
          <cell r="M25">
            <v>42491</v>
          </cell>
          <cell r="N25">
            <v>42521</v>
          </cell>
          <cell r="O25">
            <v>5</v>
          </cell>
          <cell r="P25">
            <v>0</v>
          </cell>
          <cell r="Q25" t="str">
            <v>Abbiegen/Vorfahrt A 35</v>
          </cell>
          <cell r="R25" t="str">
            <v>Schirmkonzeption</v>
          </cell>
        </row>
        <row r="26">
          <cell r="B26" t="str">
            <v>16-05-8347</v>
          </cell>
          <cell r="C26">
            <v>3</v>
          </cell>
          <cell r="D26">
            <v>42487</v>
          </cell>
          <cell r="E26">
            <v>42489</v>
          </cell>
          <cell r="F26" t="str">
            <v>Dir 6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 t="str">
            <v>x</v>
          </cell>
          <cell r="M26">
            <v>42491</v>
          </cell>
          <cell r="N26">
            <v>42521</v>
          </cell>
          <cell r="O26">
            <v>5</v>
          </cell>
          <cell r="P26" t="str">
            <v>x</v>
          </cell>
          <cell r="Q26" t="str">
            <v>Tuningszene "Alt-Mahlsdorf"</v>
          </cell>
          <cell r="R26">
            <v>0</v>
          </cell>
        </row>
        <row r="27">
          <cell r="B27" t="str">
            <v>16-05-8348</v>
          </cell>
          <cell r="C27">
            <v>3</v>
          </cell>
          <cell r="D27">
            <v>42487</v>
          </cell>
          <cell r="E27">
            <v>42489</v>
          </cell>
          <cell r="F27" t="str">
            <v>Dir 6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 t="str">
            <v>x</v>
          </cell>
          <cell r="M27">
            <v>42491</v>
          </cell>
          <cell r="N27">
            <v>42521</v>
          </cell>
          <cell r="O27">
            <v>5</v>
          </cell>
          <cell r="P27" t="str">
            <v>x</v>
          </cell>
          <cell r="Q27" t="str">
            <v>illeg. Autorennen/Jugendschutz</v>
          </cell>
          <cell r="R27">
            <v>0</v>
          </cell>
        </row>
        <row r="28">
          <cell r="B28" t="str">
            <v>16-05-8449</v>
          </cell>
          <cell r="C28">
            <v>4</v>
          </cell>
          <cell r="D28">
            <v>42487</v>
          </cell>
          <cell r="E28">
            <v>42489</v>
          </cell>
          <cell r="F28" t="str">
            <v>Dir 1</v>
          </cell>
          <cell r="G28" t="str">
            <v>x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42491</v>
          </cell>
          <cell r="N28">
            <v>42521</v>
          </cell>
          <cell r="O28">
            <v>5</v>
          </cell>
          <cell r="P28" t="str">
            <v>x</v>
          </cell>
          <cell r="Q28" t="str">
            <v>Radfahrer im Prenzlberg</v>
          </cell>
          <cell r="R28">
            <v>0</v>
          </cell>
        </row>
        <row r="29">
          <cell r="B29" t="str">
            <v>16-05-8450</v>
          </cell>
          <cell r="C29">
            <v>4</v>
          </cell>
          <cell r="D29">
            <v>42487</v>
          </cell>
          <cell r="E29">
            <v>42489</v>
          </cell>
          <cell r="F29" t="str">
            <v>Dir 2</v>
          </cell>
          <cell r="G29">
            <v>0</v>
          </cell>
          <cell r="H29" t="str">
            <v>x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42491</v>
          </cell>
          <cell r="N29">
            <v>42521</v>
          </cell>
          <cell r="O29">
            <v>5</v>
          </cell>
          <cell r="P29" t="str">
            <v>x</v>
          </cell>
          <cell r="Q29" t="str">
            <v>VU-Bekämpfung an örtl. Brennpunkten</v>
          </cell>
          <cell r="R29">
            <v>0</v>
          </cell>
        </row>
        <row r="30">
          <cell r="B30" t="str">
            <v>16-05-8451</v>
          </cell>
          <cell r="C30">
            <v>4</v>
          </cell>
          <cell r="D30">
            <v>42487</v>
          </cell>
          <cell r="E30">
            <v>42489</v>
          </cell>
          <cell r="F30" t="str">
            <v>Dir 2</v>
          </cell>
          <cell r="G30">
            <v>0</v>
          </cell>
          <cell r="H30" t="str">
            <v>x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42491</v>
          </cell>
          <cell r="N30">
            <v>42521</v>
          </cell>
          <cell r="O30">
            <v>5</v>
          </cell>
          <cell r="P30" t="str">
            <v>x</v>
          </cell>
          <cell r="Q30" t="str">
            <v>Verkehrssicherheit Radfahrer</v>
          </cell>
          <cell r="R30">
            <v>0</v>
          </cell>
        </row>
        <row r="31">
          <cell r="B31" t="str">
            <v>16-05-8452</v>
          </cell>
          <cell r="C31">
            <v>4</v>
          </cell>
          <cell r="D31">
            <v>42487</v>
          </cell>
          <cell r="E31">
            <v>42489</v>
          </cell>
          <cell r="F31" t="str">
            <v>Dir 3</v>
          </cell>
          <cell r="G31">
            <v>0</v>
          </cell>
          <cell r="H31">
            <v>0</v>
          </cell>
          <cell r="I31" t="str">
            <v>x</v>
          </cell>
          <cell r="J31">
            <v>0</v>
          </cell>
          <cell r="K31">
            <v>0</v>
          </cell>
          <cell r="L31">
            <v>0</v>
          </cell>
          <cell r="M31">
            <v>42491</v>
          </cell>
          <cell r="N31">
            <v>42521</v>
          </cell>
          <cell r="O31">
            <v>5</v>
          </cell>
          <cell r="P31" t="str">
            <v>x</v>
          </cell>
          <cell r="Q31" t="str">
            <v>VU-Bekämpfung an örtl. Brennpunkten</v>
          </cell>
          <cell r="R31">
            <v>0</v>
          </cell>
        </row>
        <row r="32">
          <cell r="B32" t="str">
            <v>16-05-8453</v>
          </cell>
          <cell r="C32">
            <v>4</v>
          </cell>
          <cell r="D32">
            <v>42487</v>
          </cell>
          <cell r="E32">
            <v>42489</v>
          </cell>
          <cell r="F32" t="str">
            <v>Dir 4</v>
          </cell>
          <cell r="G32">
            <v>0</v>
          </cell>
          <cell r="H32">
            <v>0</v>
          </cell>
          <cell r="I32">
            <v>0</v>
          </cell>
          <cell r="J32" t="str">
            <v>x</v>
          </cell>
          <cell r="K32">
            <v>0</v>
          </cell>
          <cell r="L32">
            <v>0</v>
          </cell>
          <cell r="M32">
            <v>42491</v>
          </cell>
          <cell r="N32">
            <v>42521</v>
          </cell>
          <cell r="O32">
            <v>5</v>
          </cell>
          <cell r="P32" t="str">
            <v>x</v>
          </cell>
          <cell r="Q32" t="str">
            <v>Verkehrssicherheit Senioren</v>
          </cell>
          <cell r="R32">
            <v>0</v>
          </cell>
        </row>
        <row r="33">
          <cell r="B33" t="str">
            <v>16-06-8246</v>
          </cell>
          <cell r="C33">
            <v>2</v>
          </cell>
          <cell r="D33">
            <v>42517</v>
          </cell>
          <cell r="E33">
            <v>42521</v>
          </cell>
          <cell r="F33" t="str">
            <v>PPr St II 4</v>
          </cell>
          <cell r="G33">
            <v>0</v>
          </cell>
          <cell r="H33" t="str">
            <v>x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42522</v>
          </cell>
          <cell r="N33">
            <v>42551</v>
          </cell>
          <cell r="O33">
            <v>6</v>
          </cell>
          <cell r="P33">
            <v>0</v>
          </cell>
          <cell r="Q33" t="str">
            <v>Profilierungsfahrten City West</v>
          </cell>
          <cell r="R33" t="str">
            <v>Schirmkonzeption</v>
          </cell>
        </row>
        <row r="34">
          <cell r="B34" t="str">
            <v>16-06-8347</v>
          </cell>
          <cell r="C34">
            <v>3</v>
          </cell>
          <cell r="D34">
            <v>42517</v>
          </cell>
          <cell r="E34">
            <v>42521</v>
          </cell>
          <cell r="F34" t="str">
            <v>Dir 1</v>
          </cell>
          <cell r="G34" t="str">
            <v>x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42522</v>
          </cell>
          <cell r="N34">
            <v>42551</v>
          </cell>
          <cell r="O34">
            <v>6</v>
          </cell>
          <cell r="P34" t="str">
            <v>x</v>
          </cell>
          <cell r="Q34" t="str">
            <v>Radfahrer im Prenzlberg</v>
          </cell>
          <cell r="R34">
            <v>0</v>
          </cell>
        </row>
        <row r="35">
          <cell r="B35" t="str">
            <v>16-06-8348</v>
          </cell>
          <cell r="C35">
            <v>3</v>
          </cell>
          <cell r="D35">
            <v>42517</v>
          </cell>
          <cell r="E35">
            <v>42521</v>
          </cell>
          <cell r="F35" t="str">
            <v>Dir 2</v>
          </cell>
          <cell r="G35">
            <v>0</v>
          </cell>
          <cell r="H35" t="str">
            <v>x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42522</v>
          </cell>
          <cell r="N35">
            <v>42551</v>
          </cell>
          <cell r="O35">
            <v>6</v>
          </cell>
          <cell r="P35" t="str">
            <v>x</v>
          </cell>
          <cell r="Q35" t="str">
            <v>Tuningszene "B1 West"</v>
          </cell>
          <cell r="R35">
            <v>0</v>
          </cell>
        </row>
        <row r="36">
          <cell r="B36" t="str">
            <v>16-06-8349</v>
          </cell>
          <cell r="C36">
            <v>3</v>
          </cell>
          <cell r="D36">
            <v>42517</v>
          </cell>
          <cell r="E36">
            <v>42521</v>
          </cell>
          <cell r="F36" t="str">
            <v>Dir 2</v>
          </cell>
          <cell r="G36">
            <v>0</v>
          </cell>
          <cell r="H36" t="str">
            <v>x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42522</v>
          </cell>
          <cell r="N36">
            <v>42551</v>
          </cell>
          <cell r="O36">
            <v>6</v>
          </cell>
          <cell r="P36" t="str">
            <v>x</v>
          </cell>
          <cell r="Q36" t="str">
            <v>VU-Bekämpfung an örtl. Brennpunkten</v>
          </cell>
          <cell r="R36">
            <v>0</v>
          </cell>
        </row>
        <row r="37">
          <cell r="B37" t="str">
            <v>16-06-8350</v>
          </cell>
          <cell r="C37">
            <v>3</v>
          </cell>
          <cell r="D37">
            <v>42517</v>
          </cell>
          <cell r="E37">
            <v>42521</v>
          </cell>
          <cell r="F37" t="str">
            <v>PPr St II 4</v>
          </cell>
          <cell r="G37">
            <v>0</v>
          </cell>
          <cell r="H37">
            <v>0</v>
          </cell>
          <cell r="I37" t="str">
            <v>x</v>
          </cell>
          <cell r="J37">
            <v>0</v>
          </cell>
          <cell r="K37">
            <v>0</v>
          </cell>
          <cell r="L37">
            <v>0</v>
          </cell>
          <cell r="M37">
            <v>42522</v>
          </cell>
          <cell r="N37">
            <v>42551</v>
          </cell>
          <cell r="O37">
            <v>6</v>
          </cell>
          <cell r="P37">
            <v>0</v>
          </cell>
          <cell r="Q37" t="str">
            <v>Abbiegen/Vorfahrt A 35</v>
          </cell>
          <cell r="R37" t="str">
            <v>Schirmkonzeption</v>
          </cell>
        </row>
        <row r="38">
          <cell r="B38" t="str">
            <v>16-06-8351</v>
          </cell>
          <cell r="C38">
            <v>3</v>
          </cell>
          <cell r="D38">
            <v>42517</v>
          </cell>
          <cell r="E38">
            <v>42521</v>
          </cell>
          <cell r="F38" t="str">
            <v>Dir 5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x</v>
          </cell>
          <cell r="L38">
            <v>0</v>
          </cell>
          <cell r="M38">
            <v>42522</v>
          </cell>
          <cell r="N38">
            <v>42551</v>
          </cell>
          <cell r="O38">
            <v>6</v>
          </cell>
          <cell r="P38" t="str">
            <v>x</v>
          </cell>
          <cell r="Q38" t="str">
            <v>Verkehrssicherheit Radfahrer</v>
          </cell>
          <cell r="R38">
            <v>0</v>
          </cell>
        </row>
        <row r="39">
          <cell r="B39" t="str">
            <v>16-06-8352</v>
          </cell>
          <cell r="C39">
            <v>3</v>
          </cell>
          <cell r="D39">
            <v>42517</v>
          </cell>
          <cell r="E39">
            <v>42521</v>
          </cell>
          <cell r="F39" t="str">
            <v>Dir 5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x</v>
          </cell>
          <cell r="L39">
            <v>0</v>
          </cell>
          <cell r="M39">
            <v>42522</v>
          </cell>
          <cell r="N39">
            <v>42551</v>
          </cell>
          <cell r="O39">
            <v>6</v>
          </cell>
          <cell r="P39" t="str">
            <v>x</v>
          </cell>
          <cell r="Q39" t="str">
            <v>Senkung VU-Zahlen in Friedrichshain</v>
          </cell>
          <cell r="R39">
            <v>0</v>
          </cell>
        </row>
        <row r="40">
          <cell r="B40" t="str">
            <v>16-06-8353</v>
          </cell>
          <cell r="C40">
            <v>3</v>
          </cell>
          <cell r="D40">
            <v>42517</v>
          </cell>
          <cell r="E40">
            <v>42521</v>
          </cell>
          <cell r="F40" t="str">
            <v>Dir 6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 t="str">
            <v>x</v>
          </cell>
          <cell r="M40">
            <v>42522</v>
          </cell>
          <cell r="N40">
            <v>42551</v>
          </cell>
          <cell r="O40">
            <v>6</v>
          </cell>
          <cell r="P40" t="str">
            <v>x</v>
          </cell>
          <cell r="Q40" t="str">
            <v>Tuningszene "Alt-Mahlsdorf"</v>
          </cell>
          <cell r="R40">
            <v>0</v>
          </cell>
        </row>
        <row r="41">
          <cell r="B41" t="str">
            <v>16-06-8354</v>
          </cell>
          <cell r="C41">
            <v>3</v>
          </cell>
          <cell r="D41">
            <v>42517</v>
          </cell>
          <cell r="E41">
            <v>42521</v>
          </cell>
          <cell r="F41" t="str">
            <v>Dir 6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 t="str">
            <v>x</v>
          </cell>
          <cell r="M41">
            <v>42522</v>
          </cell>
          <cell r="N41">
            <v>42551</v>
          </cell>
          <cell r="O41">
            <v>6</v>
          </cell>
          <cell r="P41" t="str">
            <v>x</v>
          </cell>
          <cell r="Q41" t="str">
            <v>illeg. Autorennen/Jugendschutz</v>
          </cell>
          <cell r="R41">
            <v>0</v>
          </cell>
        </row>
        <row r="42">
          <cell r="B42" t="str">
            <v>16-06-8455</v>
          </cell>
          <cell r="C42">
            <v>4</v>
          </cell>
          <cell r="D42">
            <v>42517</v>
          </cell>
          <cell r="E42">
            <v>42521</v>
          </cell>
          <cell r="F42" t="str">
            <v>Dir 1</v>
          </cell>
          <cell r="G42" t="str">
            <v>x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42522</v>
          </cell>
          <cell r="N42">
            <v>42551</v>
          </cell>
          <cell r="O42">
            <v>6</v>
          </cell>
          <cell r="P42" t="str">
            <v>x</v>
          </cell>
          <cell r="Q42" t="str">
            <v>Radfahrer im Prenzlberg</v>
          </cell>
          <cell r="R42">
            <v>0</v>
          </cell>
        </row>
        <row r="43">
          <cell r="B43" t="str">
            <v>16-06-8456</v>
          </cell>
          <cell r="C43">
            <v>4</v>
          </cell>
          <cell r="D43">
            <v>42517</v>
          </cell>
          <cell r="E43">
            <v>42521</v>
          </cell>
          <cell r="F43" t="str">
            <v>Dir 2</v>
          </cell>
          <cell r="G43">
            <v>0</v>
          </cell>
          <cell r="H43" t="str">
            <v>x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42522</v>
          </cell>
          <cell r="N43">
            <v>42551</v>
          </cell>
          <cell r="O43">
            <v>6</v>
          </cell>
          <cell r="P43" t="str">
            <v>x</v>
          </cell>
          <cell r="Q43" t="str">
            <v>VU-Bekämpfung an örtl. Brennpunkten</v>
          </cell>
          <cell r="R43">
            <v>0</v>
          </cell>
        </row>
        <row r="44">
          <cell r="B44" t="str">
            <v>16-06-8457</v>
          </cell>
          <cell r="C44">
            <v>4</v>
          </cell>
          <cell r="D44">
            <v>42517</v>
          </cell>
          <cell r="E44">
            <v>42521</v>
          </cell>
          <cell r="F44" t="str">
            <v>Dir 2</v>
          </cell>
          <cell r="G44">
            <v>0</v>
          </cell>
          <cell r="H44" t="str">
            <v>x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42522</v>
          </cell>
          <cell r="N44">
            <v>42551</v>
          </cell>
          <cell r="O44">
            <v>6</v>
          </cell>
          <cell r="P44" t="str">
            <v>x</v>
          </cell>
          <cell r="Q44" t="str">
            <v>Verkehrssicherheit Radfahrer</v>
          </cell>
          <cell r="R44">
            <v>0</v>
          </cell>
        </row>
        <row r="45">
          <cell r="B45" t="str">
            <v>16-06-8458</v>
          </cell>
          <cell r="C45">
            <v>4</v>
          </cell>
          <cell r="D45">
            <v>42517</v>
          </cell>
          <cell r="E45">
            <v>42521</v>
          </cell>
          <cell r="F45" t="str">
            <v>Dir 3</v>
          </cell>
          <cell r="G45">
            <v>0</v>
          </cell>
          <cell r="H45">
            <v>0</v>
          </cell>
          <cell r="I45" t="str">
            <v>x</v>
          </cell>
          <cell r="J45">
            <v>0</v>
          </cell>
          <cell r="K45">
            <v>0</v>
          </cell>
          <cell r="L45">
            <v>0</v>
          </cell>
          <cell r="M45">
            <v>42522</v>
          </cell>
          <cell r="N45">
            <v>42551</v>
          </cell>
          <cell r="O45">
            <v>6</v>
          </cell>
          <cell r="P45" t="str">
            <v>x</v>
          </cell>
          <cell r="Q45" t="str">
            <v>VU-Bekämpfung an örtl. Brennpunkten</v>
          </cell>
          <cell r="R45">
            <v>0</v>
          </cell>
        </row>
        <row r="46">
          <cell r="B46" t="str">
            <v>16-06-8459</v>
          </cell>
          <cell r="C46">
            <v>4</v>
          </cell>
          <cell r="D46">
            <v>42517</v>
          </cell>
          <cell r="E46">
            <v>42521</v>
          </cell>
          <cell r="F46" t="str">
            <v>Dir 4</v>
          </cell>
          <cell r="G46">
            <v>0</v>
          </cell>
          <cell r="H46">
            <v>0</v>
          </cell>
          <cell r="I46">
            <v>0</v>
          </cell>
          <cell r="J46" t="str">
            <v>x</v>
          </cell>
          <cell r="K46">
            <v>0</v>
          </cell>
          <cell r="L46">
            <v>0</v>
          </cell>
          <cell r="M46">
            <v>42522</v>
          </cell>
          <cell r="N46">
            <v>42551</v>
          </cell>
          <cell r="O46">
            <v>6</v>
          </cell>
          <cell r="P46" t="str">
            <v>x</v>
          </cell>
          <cell r="Q46" t="str">
            <v>Verkehrssicherheit Senioren</v>
          </cell>
          <cell r="R46">
            <v>0</v>
          </cell>
        </row>
        <row r="47">
          <cell r="B47" t="str">
            <v>16-07-8499</v>
          </cell>
          <cell r="C47">
            <v>4</v>
          </cell>
          <cell r="D47">
            <v>42545</v>
          </cell>
          <cell r="E47">
            <v>42551</v>
          </cell>
          <cell r="F47" t="str">
            <v>PPr St II 4</v>
          </cell>
          <cell r="G47" t="str">
            <v>x</v>
          </cell>
          <cell r="H47" t="str">
            <v>x</v>
          </cell>
          <cell r="I47" t="str">
            <v>x</v>
          </cell>
          <cell r="J47" t="str">
            <v>x</v>
          </cell>
          <cell r="K47" t="str">
            <v>x</v>
          </cell>
          <cell r="L47" t="str">
            <v>x</v>
          </cell>
          <cell r="M47">
            <v>42562</v>
          </cell>
          <cell r="N47">
            <v>42566</v>
          </cell>
          <cell r="O47">
            <v>7</v>
          </cell>
          <cell r="P47">
            <v>0</v>
          </cell>
          <cell r="Q47" t="str">
            <v>Bekämpfung von VU mit Radfahrer</v>
          </cell>
          <cell r="R47" t="str">
            <v>Schirmkonzeption - direktionsübergreifend</v>
          </cell>
        </row>
        <row r="48">
          <cell r="B48" t="str">
            <v>16-07-8298</v>
          </cell>
          <cell r="C48">
            <v>2</v>
          </cell>
          <cell r="D48">
            <v>42545</v>
          </cell>
          <cell r="E48">
            <v>42551</v>
          </cell>
          <cell r="F48" t="str">
            <v>PPr St II 4</v>
          </cell>
          <cell r="G48">
            <v>0</v>
          </cell>
          <cell r="H48" t="str">
            <v>x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42552</v>
          </cell>
          <cell r="N48">
            <v>42582</v>
          </cell>
          <cell r="O48">
            <v>7</v>
          </cell>
          <cell r="P48">
            <v>0</v>
          </cell>
          <cell r="Q48" t="str">
            <v>Profilierungsfahrten City West</v>
          </cell>
          <cell r="R48" t="str">
            <v>Schirmkonzeption</v>
          </cell>
        </row>
        <row r="49">
          <cell r="B49" t="str">
            <v>16-07-8397</v>
          </cell>
          <cell r="C49">
            <v>3</v>
          </cell>
          <cell r="D49">
            <v>42545</v>
          </cell>
          <cell r="E49">
            <v>42551</v>
          </cell>
          <cell r="F49" t="str">
            <v>Dir 1</v>
          </cell>
          <cell r="G49" t="str">
            <v>x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42552</v>
          </cell>
          <cell r="N49">
            <v>42582</v>
          </cell>
          <cell r="O49">
            <v>7</v>
          </cell>
          <cell r="P49" t="str">
            <v>x</v>
          </cell>
          <cell r="Q49" t="str">
            <v>Radfahrer im Prenzlberg</v>
          </cell>
          <cell r="R49">
            <v>0</v>
          </cell>
        </row>
        <row r="50">
          <cell r="B50" t="str">
            <v>16-07-8396</v>
          </cell>
          <cell r="C50">
            <v>3</v>
          </cell>
          <cell r="D50">
            <v>42545</v>
          </cell>
          <cell r="E50">
            <v>42551</v>
          </cell>
          <cell r="F50" t="str">
            <v>Dir 2</v>
          </cell>
          <cell r="G50">
            <v>0</v>
          </cell>
          <cell r="H50" t="str">
            <v>x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42552</v>
          </cell>
          <cell r="N50">
            <v>42582</v>
          </cell>
          <cell r="O50">
            <v>7</v>
          </cell>
          <cell r="P50" t="str">
            <v>x</v>
          </cell>
          <cell r="Q50" t="str">
            <v>Tuningszene "B1 West"</v>
          </cell>
          <cell r="R50">
            <v>0</v>
          </cell>
        </row>
        <row r="51">
          <cell r="B51" t="str">
            <v>16-07-8395</v>
          </cell>
          <cell r="C51">
            <v>3</v>
          </cell>
          <cell r="D51">
            <v>42545</v>
          </cell>
          <cell r="E51">
            <v>42551</v>
          </cell>
          <cell r="F51" t="str">
            <v>Dir 2</v>
          </cell>
          <cell r="G51">
            <v>0</v>
          </cell>
          <cell r="H51" t="str">
            <v>x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42552</v>
          </cell>
          <cell r="N51">
            <v>42582</v>
          </cell>
          <cell r="O51">
            <v>7</v>
          </cell>
          <cell r="P51" t="str">
            <v>x</v>
          </cell>
          <cell r="Q51" t="str">
            <v>VU-Bekämpfung an örtl. Brennpunkten</v>
          </cell>
          <cell r="R51">
            <v>0</v>
          </cell>
        </row>
        <row r="52">
          <cell r="B52" t="str">
            <v>16-07-8394</v>
          </cell>
          <cell r="C52">
            <v>3</v>
          </cell>
          <cell r="D52">
            <v>42545</v>
          </cell>
          <cell r="E52">
            <v>42551</v>
          </cell>
          <cell r="F52" t="str">
            <v>PPr St II 4</v>
          </cell>
          <cell r="G52">
            <v>0</v>
          </cell>
          <cell r="H52">
            <v>0</v>
          </cell>
          <cell r="I52" t="str">
            <v>x</v>
          </cell>
          <cell r="J52">
            <v>0</v>
          </cell>
          <cell r="K52">
            <v>0</v>
          </cell>
          <cell r="L52">
            <v>0</v>
          </cell>
          <cell r="M52">
            <v>42552</v>
          </cell>
          <cell r="N52">
            <v>42582</v>
          </cell>
          <cell r="O52">
            <v>7</v>
          </cell>
          <cell r="P52">
            <v>0</v>
          </cell>
          <cell r="Q52" t="str">
            <v>Abbiegen/Vorfahrt A 35</v>
          </cell>
          <cell r="R52" t="str">
            <v>Schirmkonzeption</v>
          </cell>
        </row>
        <row r="53">
          <cell r="B53" t="str">
            <v>16-07-8493</v>
          </cell>
          <cell r="C53">
            <v>4</v>
          </cell>
          <cell r="D53">
            <v>42545</v>
          </cell>
          <cell r="E53">
            <v>42551</v>
          </cell>
          <cell r="F53" t="str">
            <v>Dir 6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 t="str">
            <v>x</v>
          </cell>
          <cell r="M53">
            <v>42552</v>
          </cell>
          <cell r="N53">
            <v>42582</v>
          </cell>
          <cell r="O53">
            <v>7</v>
          </cell>
          <cell r="P53" t="str">
            <v>x</v>
          </cell>
          <cell r="Q53" t="str">
            <v>VU-Bekämpfung an örtl. Brennpunkten</v>
          </cell>
          <cell r="R53">
            <v>0</v>
          </cell>
        </row>
        <row r="54">
          <cell r="B54" t="str">
            <v>16-07-8392</v>
          </cell>
          <cell r="C54">
            <v>3</v>
          </cell>
          <cell r="D54">
            <v>42545</v>
          </cell>
          <cell r="E54">
            <v>42551</v>
          </cell>
          <cell r="F54" t="str">
            <v>Dir 5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x</v>
          </cell>
          <cell r="L54">
            <v>0</v>
          </cell>
          <cell r="M54">
            <v>42552</v>
          </cell>
          <cell r="N54">
            <v>42582</v>
          </cell>
          <cell r="O54">
            <v>7</v>
          </cell>
          <cell r="P54" t="str">
            <v>x</v>
          </cell>
          <cell r="Q54" t="str">
            <v>Senkung VU-Zahlen in Friedrichshain</v>
          </cell>
          <cell r="R54">
            <v>0</v>
          </cell>
        </row>
        <row r="55">
          <cell r="B55" t="str">
            <v>16-07-8391</v>
          </cell>
          <cell r="C55">
            <v>3</v>
          </cell>
          <cell r="D55">
            <v>42545</v>
          </cell>
          <cell r="E55">
            <v>42551</v>
          </cell>
          <cell r="F55" t="str">
            <v>Dir 5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x</v>
          </cell>
          <cell r="L55">
            <v>0</v>
          </cell>
          <cell r="M55">
            <v>42552</v>
          </cell>
          <cell r="N55">
            <v>42582</v>
          </cell>
          <cell r="O55">
            <v>7</v>
          </cell>
          <cell r="P55" t="str">
            <v>x</v>
          </cell>
          <cell r="Q55" t="str">
            <v>VÜ Columbiadamm</v>
          </cell>
          <cell r="R55">
            <v>0</v>
          </cell>
        </row>
        <row r="56">
          <cell r="B56" t="str">
            <v>16-07-8390</v>
          </cell>
          <cell r="C56">
            <v>3</v>
          </cell>
          <cell r="D56">
            <v>42545</v>
          </cell>
          <cell r="E56">
            <v>42551</v>
          </cell>
          <cell r="F56" t="str">
            <v>Dir 6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 t="str">
            <v>x</v>
          </cell>
          <cell r="M56">
            <v>42552</v>
          </cell>
          <cell r="N56">
            <v>42582</v>
          </cell>
          <cell r="O56">
            <v>7</v>
          </cell>
          <cell r="P56" t="str">
            <v>x</v>
          </cell>
          <cell r="Q56" t="str">
            <v>Tuningszene "Alt-Mahlsdorf"</v>
          </cell>
          <cell r="R56">
            <v>0</v>
          </cell>
        </row>
        <row r="57">
          <cell r="B57" t="str">
            <v>16-07-8389</v>
          </cell>
          <cell r="C57">
            <v>3</v>
          </cell>
          <cell r="D57">
            <v>42545</v>
          </cell>
          <cell r="E57">
            <v>42551</v>
          </cell>
          <cell r="F57" t="str">
            <v>Dir 6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 t="str">
            <v>x</v>
          </cell>
          <cell r="M57">
            <v>42552</v>
          </cell>
          <cell r="N57">
            <v>42582</v>
          </cell>
          <cell r="O57">
            <v>7</v>
          </cell>
          <cell r="P57" t="str">
            <v>x</v>
          </cell>
          <cell r="Q57" t="str">
            <v>illeg. Autorennen/Jugendschutz</v>
          </cell>
          <cell r="R57">
            <v>0</v>
          </cell>
        </row>
        <row r="58">
          <cell r="B58" t="str">
            <v>16-07-8488</v>
          </cell>
          <cell r="C58">
            <v>4</v>
          </cell>
          <cell r="D58">
            <v>42545</v>
          </cell>
          <cell r="E58">
            <v>42551</v>
          </cell>
          <cell r="F58" t="str">
            <v>Dir 1</v>
          </cell>
          <cell r="G58" t="str">
            <v>x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42552</v>
          </cell>
          <cell r="N58">
            <v>42582</v>
          </cell>
          <cell r="O58">
            <v>7</v>
          </cell>
          <cell r="P58" t="str">
            <v>x</v>
          </cell>
          <cell r="Q58" t="str">
            <v>Radfahrer im Prenzlberg</v>
          </cell>
          <cell r="R58">
            <v>0</v>
          </cell>
        </row>
        <row r="59">
          <cell r="B59" t="str">
            <v>16-07-8487</v>
          </cell>
          <cell r="C59">
            <v>4</v>
          </cell>
          <cell r="D59">
            <v>42545</v>
          </cell>
          <cell r="E59">
            <v>42551</v>
          </cell>
          <cell r="F59" t="str">
            <v>Dir 2</v>
          </cell>
          <cell r="G59">
            <v>0</v>
          </cell>
          <cell r="H59" t="str">
            <v>x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42552</v>
          </cell>
          <cell r="N59">
            <v>42582</v>
          </cell>
          <cell r="O59">
            <v>7</v>
          </cell>
          <cell r="P59" t="str">
            <v>x</v>
          </cell>
          <cell r="Q59" t="str">
            <v>VU-Bekämpfung an örtl. Brennpunkten</v>
          </cell>
          <cell r="R59">
            <v>0</v>
          </cell>
        </row>
        <row r="60">
          <cell r="B60" t="str">
            <v>16-07-8486</v>
          </cell>
          <cell r="C60">
            <v>4</v>
          </cell>
          <cell r="D60">
            <v>42545</v>
          </cell>
          <cell r="E60">
            <v>42551</v>
          </cell>
          <cell r="F60" t="str">
            <v>Dir 2</v>
          </cell>
          <cell r="G60">
            <v>0</v>
          </cell>
          <cell r="H60" t="str">
            <v>x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42552</v>
          </cell>
          <cell r="N60">
            <v>42582</v>
          </cell>
          <cell r="O60">
            <v>7</v>
          </cell>
          <cell r="P60" t="str">
            <v>x</v>
          </cell>
          <cell r="Q60" t="str">
            <v>Verkehrssicherheit Radfahrer</v>
          </cell>
          <cell r="R60">
            <v>0</v>
          </cell>
        </row>
        <row r="61">
          <cell r="B61" t="str">
            <v>16-07-8485</v>
          </cell>
          <cell r="C61">
            <v>4</v>
          </cell>
          <cell r="D61">
            <v>42545</v>
          </cell>
          <cell r="E61">
            <v>42551</v>
          </cell>
          <cell r="F61" t="str">
            <v>Dir 3</v>
          </cell>
          <cell r="G61">
            <v>0</v>
          </cell>
          <cell r="H61">
            <v>0</v>
          </cell>
          <cell r="I61" t="str">
            <v>x</v>
          </cell>
          <cell r="J61">
            <v>0</v>
          </cell>
          <cell r="K61">
            <v>0</v>
          </cell>
          <cell r="L61">
            <v>0</v>
          </cell>
          <cell r="M61">
            <v>42552</v>
          </cell>
          <cell r="N61">
            <v>42582</v>
          </cell>
          <cell r="O61">
            <v>7</v>
          </cell>
          <cell r="P61" t="str">
            <v>x</v>
          </cell>
          <cell r="Q61" t="str">
            <v>VU-Bekämpfung an örtl. Brennpunkten</v>
          </cell>
          <cell r="R61">
            <v>0</v>
          </cell>
        </row>
        <row r="62">
          <cell r="B62" t="str">
            <v>16-07-8484</v>
          </cell>
          <cell r="C62">
            <v>4</v>
          </cell>
          <cell r="D62">
            <v>42545</v>
          </cell>
          <cell r="E62">
            <v>42551</v>
          </cell>
          <cell r="F62" t="str">
            <v>Dir 4</v>
          </cell>
          <cell r="G62">
            <v>0</v>
          </cell>
          <cell r="H62">
            <v>0</v>
          </cell>
          <cell r="I62">
            <v>0</v>
          </cell>
          <cell r="J62" t="str">
            <v>x</v>
          </cell>
          <cell r="K62">
            <v>0</v>
          </cell>
          <cell r="L62">
            <v>0</v>
          </cell>
          <cell r="M62">
            <v>42552</v>
          </cell>
          <cell r="N62">
            <v>42582</v>
          </cell>
          <cell r="O62">
            <v>7</v>
          </cell>
          <cell r="P62" t="str">
            <v>x</v>
          </cell>
          <cell r="Q62" t="str">
            <v>Verkehrssicherheit Senioren</v>
          </cell>
          <cell r="R62">
            <v>0</v>
          </cell>
        </row>
        <row r="63">
          <cell r="B63" t="str">
            <v>16-08-8299</v>
          </cell>
          <cell r="C63">
            <v>2</v>
          </cell>
          <cell r="D63">
            <v>42577</v>
          </cell>
          <cell r="E63">
            <v>42580</v>
          </cell>
          <cell r="F63" t="str">
            <v>PPr St II 4</v>
          </cell>
          <cell r="G63">
            <v>0</v>
          </cell>
          <cell r="H63" t="str">
            <v>x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42583</v>
          </cell>
          <cell r="N63">
            <v>42613</v>
          </cell>
          <cell r="O63">
            <v>8</v>
          </cell>
          <cell r="P63">
            <v>0</v>
          </cell>
          <cell r="Q63" t="str">
            <v>Profilierungsfahrten City West</v>
          </cell>
          <cell r="R63" t="str">
            <v>Schirmkonzeption</v>
          </cell>
        </row>
        <row r="64">
          <cell r="B64" t="str">
            <v>16-08-8398</v>
          </cell>
          <cell r="C64">
            <v>3</v>
          </cell>
          <cell r="D64">
            <v>42577</v>
          </cell>
          <cell r="E64">
            <v>42580</v>
          </cell>
          <cell r="F64" t="str">
            <v>Dir 1</v>
          </cell>
          <cell r="G64" t="str">
            <v>x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42583</v>
          </cell>
          <cell r="N64">
            <v>42613</v>
          </cell>
          <cell r="O64">
            <v>8</v>
          </cell>
          <cell r="P64" t="str">
            <v>x</v>
          </cell>
          <cell r="Q64" t="str">
            <v>Radfahrer im Prenzlberg</v>
          </cell>
          <cell r="R64">
            <v>0</v>
          </cell>
        </row>
        <row r="65">
          <cell r="B65" t="str">
            <v>16-08-8397</v>
          </cell>
          <cell r="C65">
            <v>3</v>
          </cell>
          <cell r="D65">
            <v>42577</v>
          </cell>
          <cell r="E65">
            <v>42580</v>
          </cell>
          <cell r="F65" t="str">
            <v>Dir 2</v>
          </cell>
          <cell r="G65">
            <v>0</v>
          </cell>
          <cell r="H65" t="str">
            <v>x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42583</v>
          </cell>
          <cell r="N65">
            <v>42613</v>
          </cell>
          <cell r="O65">
            <v>8</v>
          </cell>
          <cell r="P65" t="str">
            <v>x</v>
          </cell>
          <cell r="Q65" t="str">
            <v>Tuningszene "B1 West"</v>
          </cell>
          <cell r="R65">
            <v>0</v>
          </cell>
        </row>
        <row r="66">
          <cell r="B66" t="str">
            <v>16-08-8396</v>
          </cell>
          <cell r="C66">
            <v>3</v>
          </cell>
          <cell r="D66">
            <v>42577</v>
          </cell>
          <cell r="E66">
            <v>42580</v>
          </cell>
          <cell r="F66" t="str">
            <v>Dir 2</v>
          </cell>
          <cell r="G66">
            <v>0</v>
          </cell>
          <cell r="H66" t="str">
            <v>x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42583</v>
          </cell>
          <cell r="N66">
            <v>42613</v>
          </cell>
          <cell r="O66">
            <v>8</v>
          </cell>
          <cell r="P66" t="str">
            <v>x</v>
          </cell>
          <cell r="Q66" t="str">
            <v>VU-Bekämpfung an örtl. Brennpunkten</v>
          </cell>
          <cell r="R66">
            <v>0</v>
          </cell>
        </row>
        <row r="67">
          <cell r="B67" t="str">
            <v>16-08-8395</v>
          </cell>
          <cell r="C67">
            <v>3</v>
          </cell>
          <cell r="D67">
            <v>42577</v>
          </cell>
          <cell r="E67">
            <v>42580</v>
          </cell>
          <cell r="F67" t="str">
            <v>PPr St II 4</v>
          </cell>
          <cell r="G67">
            <v>0</v>
          </cell>
          <cell r="H67">
            <v>0</v>
          </cell>
          <cell r="I67" t="str">
            <v>x</v>
          </cell>
          <cell r="J67">
            <v>0</v>
          </cell>
          <cell r="K67">
            <v>0</v>
          </cell>
          <cell r="L67">
            <v>0</v>
          </cell>
          <cell r="M67">
            <v>42583</v>
          </cell>
          <cell r="N67">
            <v>42613</v>
          </cell>
          <cell r="O67">
            <v>8</v>
          </cell>
          <cell r="P67">
            <v>0</v>
          </cell>
          <cell r="Q67" t="str">
            <v>Abbiegen/Vorfahrt A 35</v>
          </cell>
          <cell r="R67" t="str">
            <v>Schirmkonzeption</v>
          </cell>
        </row>
        <row r="68">
          <cell r="B68" t="str">
            <v>16-08-8394</v>
          </cell>
          <cell r="C68">
            <v>3</v>
          </cell>
          <cell r="D68">
            <v>42577</v>
          </cell>
          <cell r="E68">
            <v>42580</v>
          </cell>
          <cell r="F68" t="str">
            <v>Dir 5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x</v>
          </cell>
          <cell r="L68">
            <v>0</v>
          </cell>
          <cell r="M68">
            <v>42583</v>
          </cell>
          <cell r="N68">
            <v>42613</v>
          </cell>
          <cell r="O68">
            <v>8</v>
          </cell>
          <cell r="P68" t="str">
            <v>x</v>
          </cell>
          <cell r="Q68" t="str">
            <v>Lade- und Lieferzonen</v>
          </cell>
          <cell r="R68">
            <v>0</v>
          </cell>
        </row>
        <row r="69">
          <cell r="B69" t="str">
            <v>16-08-8393</v>
          </cell>
          <cell r="C69">
            <v>3</v>
          </cell>
          <cell r="D69">
            <v>42577</v>
          </cell>
          <cell r="E69">
            <v>42580</v>
          </cell>
          <cell r="F69" t="str">
            <v>Dir 5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x</v>
          </cell>
          <cell r="L69">
            <v>0</v>
          </cell>
          <cell r="M69">
            <v>42583</v>
          </cell>
          <cell r="N69">
            <v>42613</v>
          </cell>
          <cell r="O69">
            <v>8</v>
          </cell>
          <cell r="P69" t="str">
            <v>x</v>
          </cell>
          <cell r="Q69" t="str">
            <v>Parkverstöße</v>
          </cell>
          <cell r="R69">
            <v>0</v>
          </cell>
        </row>
        <row r="70">
          <cell r="B70" t="str">
            <v>16-08-8392</v>
          </cell>
          <cell r="C70">
            <v>3</v>
          </cell>
          <cell r="D70">
            <v>42577</v>
          </cell>
          <cell r="E70">
            <v>42580</v>
          </cell>
          <cell r="F70" t="str">
            <v>Dir 5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x</v>
          </cell>
          <cell r="L70">
            <v>0</v>
          </cell>
          <cell r="M70">
            <v>42583</v>
          </cell>
          <cell r="N70">
            <v>42613</v>
          </cell>
          <cell r="O70">
            <v>8</v>
          </cell>
          <cell r="P70" t="str">
            <v>x</v>
          </cell>
          <cell r="Q70" t="str">
            <v>Senkung VU-Zahlen in Friedrichshain</v>
          </cell>
          <cell r="R70">
            <v>0</v>
          </cell>
        </row>
        <row r="71">
          <cell r="B71" t="str">
            <v>16-08-8391</v>
          </cell>
          <cell r="C71">
            <v>3</v>
          </cell>
          <cell r="D71">
            <v>42577</v>
          </cell>
          <cell r="E71">
            <v>42580</v>
          </cell>
          <cell r="F71" t="str">
            <v>Dir 5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x</v>
          </cell>
          <cell r="L71">
            <v>0</v>
          </cell>
          <cell r="M71">
            <v>42583</v>
          </cell>
          <cell r="N71">
            <v>42613</v>
          </cell>
          <cell r="O71">
            <v>8</v>
          </cell>
          <cell r="P71" t="str">
            <v>x</v>
          </cell>
          <cell r="Q71" t="str">
            <v>Verkehrssicherheit Radfahrer A 56</v>
          </cell>
          <cell r="R71">
            <v>0</v>
          </cell>
        </row>
        <row r="72">
          <cell r="B72" t="str">
            <v>16-08-8390</v>
          </cell>
          <cell r="C72">
            <v>3</v>
          </cell>
          <cell r="D72">
            <v>42577</v>
          </cell>
          <cell r="E72">
            <v>42580</v>
          </cell>
          <cell r="F72" t="str">
            <v>Dir 5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x</v>
          </cell>
          <cell r="L72">
            <v>0</v>
          </cell>
          <cell r="M72">
            <v>42583</v>
          </cell>
          <cell r="N72">
            <v>42613</v>
          </cell>
          <cell r="O72">
            <v>8</v>
          </cell>
          <cell r="P72" t="str">
            <v>x</v>
          </cell>
          <cell r="Q72" t="str">
            <v>Verkehrssicherheit Radfahrer Dir 5 St 14</v>
          </cell>
          <cell r="R72">
            <v>0</v>
          </cell>
        </row>
        <row r="73">
          <cell r="B73" t="str">
            <v>16-08-8389</v>
          </cell>
          <cell r="C73">
            <v>3</v>
          </cell>
          <cell r="D73">
            <v>42577</v>
          </cell>
          <cell r="E73">
            <v>42580</v>
          </cell>
          <cell r="F73" t="str">
            <v>Dir 5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x</v>
          </cell>
          <cell r="L73">
            <v>0</v>
          </cell>
          <cell r="M73">
            <v>42583</v>
          </cell>
          <cell r="N73">
            <v>42613</v>
          </cell>
          <cell r="O73">
            <v>8</v>
          </cell>
          <cell r="P73" t="str">
            <v>x</v>
          </cell>
          <cell r="Q73" t="str">
            <v>VÜ Columbiadamm</v>
          </cell>
          <cell r="R73">
            <v>0</v>
          </cell>
        </row>
        <row r="74">
          <cell r="B74" t="str">
            <v>16-08-8388</v>
          </cell>
          <cell r="C74">
            <v>3</v>
          </cell>
          <cell r="D74">
            <v>42577</v>
          </cell>
          <cell r="E74">
            <v>42580</v>
          </cell>
          <cell r="F74" t="str">
            <v>Dir 6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 t="str">
            <v>x</v>
          </cell>
          <cell r="M74">
            <v>42583</v>
          </cell>
          <cell r="N74">
            <v>42613</v>
          </cell>
          <cell r="O74">
            <v>8</v>
          </cell>
          <cell r="P74" t="str">
            <v>x</v>
          </cell>
          <cell r="Q74" t="str">
            <v>Tuningszene "Alt-Mahlsdorf"</v>
          </cell>
          <cell r="R74">
            <v>0</v>
          </cell>
        </row>
        <row r="75">
          <cell r="B75" t="str">
            <v>16-08-8487</v>
          </cell>
          <cell r="C75">
            <v>4</v>
          </cell>
          <cell r="D75">
            <v>42577</v>
          </cell>
          <cell r="E75">
            <v>42580</v>
          </cell>
          <cell r="F75" t="str">
            <v>Dir 1</v>
          </cell>
          <cell r="G75" t="str">
            <v>x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42583</v>
          </cell>
          <cell r="N75">
            <v>42613</v>
          </cell>
          <cell r="O75">
            <v>8</v>
          </cell>
          <cell r="P75" t="str">
            <v>x</v>
          </cell>
          <cell r="Q75" t="str">
            <v>Geschwindigkeitsüberwachung</v>
          </cell>
          <cell r="R75">
            <v>0</v>
          </cell>
        </row>
        <row r="76">
          <cell r="B76" t="str">
            <v>16-08-8486</v>
          </cell>
          <cell r="C76">
            <v>4</v>
          </cell>
          <cell r="D76">
            <v>42577</v>
          </cell>
          <cell r="E76">
            <v>42580</v>
          </cell>
          <cell r="F76" t="str">
            <v>Dir 1</v>
          </cell>
          <cell r="G76" t="str">
            <v>x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42583</v>
          </cell>
          <cell r="N76">
            <v>42613</v>
          </cell>
          <cell r="O76">
            <v>8</v>
          </cell>
          <cell r="P76" t="str">
            <v>x</v>
          </cell>
          <cell r="Q76" t="str">
            <v>Radfahrer im Prenzlberg</v>
          </cell>
          <cell r="R76">
            <v>0</v>
          </cell>
        </row>
        <row r="77">
          <cell r="B77" t="str">
            <v>16-08-8485</v>
          </cell>
          <cell r="C77">
            <v>4</v>
          </cell>
          <cell r="D77">
            <v>42577</v>
          </cell>
          <cell r="E77">
            <v>42580</v>
          </cell>
          <cell r="F77" t="str">
            <v>Dir 2</v>
          </cell>
          <cell r="G77">
            <v>0</v>
          </cell>
          <cell r="H77" t="str">
            <v>x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42583</v>
          </cell>
          <cell r="N77">
            <v>42613</v>
          </cell>
          <cell r="O77">
            <v>8</v>
          </cell>
          <cell r="P77" t="str">
            <v>x</v>
          </cell>
          <cell r="Q77" t="str">
            <v>Verkehrssicherheit Radfahrer</v>
          </cell>
          <cell r="R77">
            <v>0</v>
          </cell>
        </row>
        <row r="78">
          <cell r="B78" t="str">
            <v>16-08-8484</v>
          </cell>
          <cell r="C78">
            <v>4</v>
          </cell>
          <cell r="D78">
            <v>42577</v>
          </cell>
          <cell r="E78">
            <v>42580</v>
          </cell>
          <cell r="F78" t="str">
            <v>Dir 2</v>
          </cell>
          <cell r="G78">
            <v>0</v>
          </cell>
          <cell r="H78" t="str">
            <v>x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42583</v>
          </cell>
          <cell r="N78">
            <v>42613</v>
          </cell>
          <cell r="O78">
            <v>8</v>
          </cell>
          <cell r="P78" t="str">
            <v>x</v>
          </cell>
          <cell r="Q78" t="str">
            <v>VU-Bekämpfung an örtl. Brennpunkten</v>
          </cell>
          <cell r="R78">
            <v>0</v>
          </cell>
        </row>
        <row r="79">
          <cell r="B79" t="str">
            <v>16-08-8483</v>
          </cell>
          <cell r="C79">
            <v>4</v>
          </cell>
          <cell r="D79">
            <v>42577</v>
          </cell>
          <cell r="E79">
            <v>42580</v>
          </cell>
          <cell r="F79" t="str">
            <v>PPr St II 4</v>
          </cell>
          <cell r="G79">
            <v>0</v>
          </cell>
          <cell r="H79" t="str">
            <v>x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42583</v>
          </cell>
          <cell r="N79">
            <v>42613</v>
          </cell>
          <cell r="O79">
            <v>8</v>
          </cell>
          <cell r="P79">
            <v>0</v>
          </cell>
          <cell r="Q79" t="str">
            <v>Profilierungsfahrten City West</v>
          </cell>
          <cell r="R79" t="str">
            <v>Schirmkonzeption</v>
          </cell>
        </row>
        <row r="80">
          <cell r="B80" t="str">
            <v>16-08-8482</v>
          </cell>
          <cell r="C80">
            <v>4</v>
          </cell>
          <cell r="D80">
            <v>42577</v>
          </cell>
          <cell r="E80">
            <v>42580</v>
          </cell>
          <cell r="F80" t="str">
            <v>Dir 3</v>
          </cell>
          <cell r="G80">
            <v>0</v>
          </cell>
          <cell r="H80">
            <v>0</v>
          </cell>
          <cell r="I80" t="str">
            <v>x</v>
          </cell>
          <cell r="J80">
            <v>0</v>
          </cell>
          <cell r="K80">
            <v>0</v>
          </cell>
          <cell r="L80">
            <v>0</v>
          </cell>
          <cell r="M80">
            <v>42583</v>
          </cell>
          <cell r="N80">
            <v>42613</v>
          </cell>
          <cell r="O80">
            <v>8</v>
          </cell>
          <cell r="P80" t="str">
            <v>x</v>
          </cell>
          <cell r="Q80" t="str">
            <v>VU-Bekämpfung an örtl. Brennpunkten</v>
          </cell>
          <cell r="R80">
            <v>0</v>
          </cell>
        </row>
        <row r="81">
          <cell r="B81" t="str">
            <v>16-08-8481</v>
          </cell>
          <cell r="C81">
            <v>4</v>
          </cell>
          <cell r="D81">
            <v>42577</v>
          </cell>
          <cell r="E81">
            <v>42580</v>
          </cell>
          <cell r="F81" t="str">
            <v>Dir 4</v>
          </cell>
          <cell r="G81">
            <v>0</v>
          </cell>
          <cell r="H81">
            <v>0</v>
          </cell>
          <cell r="I81">
            <v>0</v>
          </cell>
          <cell r="J81" t="str">
            <v>x</v>
          </cell>
          <cell r="K81">
            <v>0</v>
          </cell>
          <cell r="L81">
            <v>0</v>
          </cell>
          <cell r="M81">
            <v>42583</v>
          </cell>
          <cell r="N81">
            <v>42613</v>
          </cell>
          <cell r="O81">
            <v>8</v>
          </cell>
          <cell r="P81" t="str">
            <v>x</v>
          </cell>
          <cell r="Q81" t="str">
            <v>Verkehrssicherheit Senioren</v>
          </cell>
          <cell r="R81">
            <v>0</v>
          </cell>
        </row>
        <row r="82">
          <cell r="B82" t="str">
            <v>16-08-8480</v>
          </cell>
          <cell r="C82">
            <v>4</v>
          </cell>
          <cell r="D82">
            <v>42577</v>
          </cell>
          <cell r="E82">
            <v>42580</v>
          </cell>
          <cell r="F82" t="str">
            <v>Dir 5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x</v>
          </cell>
          <cell r="L82">
            <v>0</v>
          </cell>
          <cell r="M82">
            <v>42583</v>
          </cell>
          <cell r="N82">
            <v>42613</v>
          </cell>
          <cell r="O82">
            <v>8</v>
          </cell>
          <cell r="P82" t="str">
            <v>x</v>
          </cell>
          <cell r="Q82" t="str">
            <v>Busspuren</v>
          </cell>
          <cell r="R82">
            <v>0</v>
          </cell>
        </row>
        <row r="83">
          <cell r="B83" t="str">
            <v>16-08-8479</v>
          </cell>
          <cell r="C83">
            <v>4</v>
          </cell>
          <cell r="D83">
            <v>42577</v>
          </cell>
          <cell r="E83">
            <v>42580</v>
          </cell>
          <cell r="F83" t="str">
            <v>Dir 5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x</v>
          </cell>
          <cell r="L83">
            <v>0</v>
          </cell>
          <cell r="M83">
            <v>42583</v>
          </cell>
          <cell r="N83">
            <v>42613</v>
          </cell>
          <cell r="O83">
            <v>8</v>
          </cell>
          <cell r="P83" t="str">
            <v>x</v>
          </cell>
          <cell r="Q83" t="str">
            <v>Verkehrssicherheit Radfahrer A 56</v>
          </cell>
          <cell r="R83">
            <v>0</v>
          </cell>
        </row>
        <row r="84">
          <cell r="B84" t="str">
            <v>16-08-8378</v>
          </cell>
          <cell r="C84">
            <v>3</v>
          </cell>
          <cell r="D84">
            <v>42578</v>
          </cell>
          <cell r="E84">
            <v>42580</v>
          </cell>
          <cell r="F84" t="str">
            <v>Dir 6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 t="str">
            <v>x</v>
          </cell>
          <cell r="M84">
            <v>42583</v>
          </cell>
          <cell r="N84">
            <v>42613</v>
          </cell>
          <cell r="O84">
            <v>8</v>
          </cell>
          <cell r="P84" t="str">
            <v>x</v>
          </cell>
          <cell r="Q84" t="str">
            <v>illeg. Autorennen/Jugendschutz</v>
          </cell>
          <cell r="R84">
            <v>0</v>
          </cell>
        </row>
        <row r="85">
          <cell r="B85" t="str">
            <v>16-08-8477</v>
          </cell>
          <cell r="C85">
            <v>4</v>
          </cell>
          <cell r="D85">
            <v>42578</v>
          </cell>
          <cell r="E85">
            <v>42580</v>
          </cell>
          <cell r="F85" t="str">
            <v>Dir 6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 t="str">
            <v>x</v>
          </cell>
          <cell r="M85">
            <v>42583</v>
          </cell>
          <cell r="N85">
            <v>42613</v>
          </cell>
          <cell r="O85">
            <v>8</v>
          </cell>
          <cell r="P85" t="str">
            <v>x</v>
          </cell>
          <cell r="Q85" t="str">
            <v>Geschwindigkeitsüberwachung</v>
          </cell>
          <cell r="R85">
            <v>0</v>
          </cell>
        </row>
        <row r="86">
          <cell r="B86" t="str">
            <v>16-09-8299</v>
          </cell>
          <cell r="C86">
            <v>2</v>
          </cell>
          <cell r="D86">
            <v>42593</v>
          </cell>
          <cell r="E86">
            <v>0</v>
          </cell>
          <cell r="F86" t="str">
            <v>PPr St II 4</v>
          </cell>
          <cell r="G86">
            <v>0</v>
          </cell>
          <cell r="H86" t="str">
            <v>x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42614</v>
          </cell>
          <cell r="N86">
            <v>42643</v>
          </cell>
          <cell r="O86">
            <v>9</v>
          </cell>
          <cell r="P86">
            <v>0</v>
          </cell>
          <cell r="Q86" t="str">
            <v>Profilierungsfahrten City West</v>
          </cell>
          <cell r="R86" t="str">
            <v>Schirmkonzeption</v>
          </cell>
        </row>
        <row r="87">
          <cell r="B87" t="str">
            <v>16-09-8398</v>
          </cell>
          <cell r="C87">
            <v>3</v>
          </cell>
          <cell r="D87">
            <v>42593</v>
          </cell>
          <cell r="E87">
            <v>0</v>
          </cell>
          <cell r="F87" t="str">
            <v>PPr St II 4</v>
          </cell>
          <cell r="G87">
            <v>0</v>
          </cell>
          <cell r="H87">
            <v>0</v>
          </cell>
          <cell r="I87" t="str">
            <v>x</v>
          </cell>
          <cell r="J87">
            <v>0</v>
          </cell>
          <cell r="K87">
            <v>0</v>
          </cell>
          <cell r="L87">
            <v>0</v>
          </cell>
          <cell r="M87">
            <v>42614</v>
          </cell>
          <cell r="N87">
            <v>42643</v>
          </cell>
          <cell r="O87">
            <v>9</v>
          </cell>
          <cell r="P87">
            <v>0</v>
          </cell>
          <cell r="Q87" t="str">
            <v>Abbiegen/Vorfahrt A 35</v>
          </cell>
          <cell r="R87" t="str">
            <v>Schirmkonzeption</v>
          </cell>
        </row>
        <row r="88">
          <cell r="B88" t="str">
            <v>16-09-8397</v>
          </cell>
          <cell r="C88">
            <v>3</v>
          </cell>
          <cell r="D88">
            <v>42593</v>
          </cell>
          <cell r="E88">
            <v>0</v>
          </cell>
          <cell r="F88" t="str">
            <v>Dir 1</v>
          </cell>
          <cell r="G88" t="str">
            <v>x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42614</v>
          </cell>
          <cell r="N88">
            <v>42643</v>
          </cell>
          <cell r="O88">
            <v>9</v>
          </cell>
          <cell r="P88" t="str">
            <v>x</v>
          </cell>
          <cell r="Q88" t="str">
            <v>Radfahrer im Prenzlberg</v>
          </cell>
          <cell r="R88">
            <v>0</v>
          </cell>
        </row>
        <row r="89">
          <cell r="B89" t="str">
            <v>16-09-8396</v>
          </cell>
          <cell r="C89">
            <v>3</v>
          </cell>
          <cell r="D89">
            <v>42593</v>
          </cell>
          <cell r="E89">
            <v>0</v>
          </cell>
          <cell r="F89" t="str">
            <v>Dir 2</v>
          </cell>
          <cell r="G89">
            <v>0</v>
          </cell>
          <cell r="H89" t="str">
            <v>X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42614</v>
          </cell>
          <cell r="N89">
            <v>42643</v>
          </cell>
          <cell r="O89">
            <v>9</v>
          </cell>
          <cell r="P89" t="str">
            <v>x</v>
          </cell>
          <cell r="Q89" t="str">
            <v>Tuningszene "B1 West"</v>
          </cell>
          <cell r="R89">
            <v>0</v>
          </cell>
        </row>
        <row r="90">
          <cell r="B90" t="str">
            <v>16-09-8395</v>
          </cell>
          <cell r="C90">
            <v>3</v>
          </cell>
          <cell r="D90">
            <v>42593</v>
          </cell>
          <cell r="E90">
            <v>0</v>
          </cell>
          <cell r="F90" t="str">
            <v>Dir 2</v>
          </cell>
          <cell r="G90">
            <v>0</v>
          </cell>
          <cell r="H90" t="str">
            <v>x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42614</v>
          </cell>
          <cell r="N90">
            <v>42643</v>
          </cell>
          <cell r="O90">
            <v>9</v>
          </cell>
          <cell r="P90" t="str">
            <v>x</v>
          </cell>
          <cell r="Q90" t="str">
            <v>VU-Bekämpfung an örtl. Brennpunkten</v>
          </cell>
          <cell r="R90">
            <v>0</v>
          </cell>
        </row>
        <row r="91">
          <cell r="B91" t="str">
            <v>16-09-8394</v>
          </cell>
          <cell r="C91">
            <v>3</v>
          </cell>
          <cell r="D91">
            <v>42593</v>
          </cell>
          <cell r="E91">
            <v>0</v>
          </cell>
          <cell r="F91" t="str">
            <v>Dir 5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x</v>
          </cell>
          <cell r="L91">
            <v>0</v>
          </cell>
          <cell r="M91">
            <v>42614</v>
          </cell>
          <cell r="N91">
            <v>42643</v>
          </cell>
          <cell r="O91">
            <v>9</v>
          </cell>
          <cell r="P91" t="str">
            <v>x</v>
          </cell>
          <cell r="Q91" t="str">
            <v>Lade- und Lieferzonen</v>
          </cell>
          <cell r="R91">
            <v>0</v>
          </cell>
        </row>
        <row r="92">
          <cell r="B92" t="str">
            <v>16-09-8393</v>
          </cell>
          <cell r="C92">
            <v>3</v>
          </cell>
          <cell r="D92">
            <v>42593</v>
          </cell>
          <cell r="E92">
            <v>0</v>
          </cell>
          <cell r="F92" t="str">
            <v>Dir 5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x</v>
          </cell>
          <cell r="L92">
            <v>0</v>
          </cell>
          <cell r="M92">
            <v>42614</v>
          </cell>
          <cell r="N92">
            <v>42643</v>
          </cell>
          <cell r="O92">
            <v>9</v>
          </cell>
          <cell r="P92" t="str">
            <v>x</v>
          </cell>
          <cell r="Q92" t="str">
            <v>Senkung VU-Zahlen in Friedrichshain</v>
          </cell>
          <cell r="R92">
            <v>0</v>
          </cell>
        </row>
        <row r="93">
          <cell r="B93" t="str">
            <v>16-09-8392</v>
          </cell>
          <cell r="C93">
            <v>3</v>
          </cell>
          <cell r="D93">
            <v>42593</v>
          </cell>
          <cell r="E93">
            <v>0</v>
          </cell>
          <cell r="F93" t="str">
            <v>Dir 5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x</v>
          </cell>
          <cell r="L93">
            <v>0</v>
          </cell>
          <cell r="M93">
            <v>42614</v>
          </cell>
          <cell r="N93">
            <v>42643</v>
          </cell>
          <cell r="O93">
            <v>9</v>
          </cell>
          <cell r="P93" t="str">
            <v>x</v>
          </cell>
          <cell r="Q93" t="str">
            <v>Verkehrssicherheit Radfahrer A 56</v>
          </cell>
          <cell r="R93">
            <v>0</v>
          </cell>
        </row>
        <row r="94">
          <cell r="B94" t="str">
            <v>16-09-8391</v>
          </cell>
          <cell r="C94">
            <v>3</v>
          </cell>
          <cell r="D94">
            <v>42593</v>
          </cell>
          <cell r="E94">
            <v>0</v>
          </cell>
          <cell r="F94" t="str">
            <v>Dir 5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x</v>
          </cell>
          <cell r="L94">
            <v>0</v>
          </cell>
          <cell r="M94">
            <v>42614</v>
          </cell>
          <cell r="N94">
            <v>42643</v>
          </cell>
          <cell r="O94">
            <v>9</v>
          </cell>
          <cell r="P94" t="str">
            <v>x</v>
          </cell>
          <cell r="Q94" t="str">
            <v>VÜ Columbiadamm</v>
          </cell>
          <cell r="R94">
            <v>0</v>
          </cell>
        </row>
        <row r="95">
          <cell r="B95" t="str">
            <v>16-09-8390</v>
          </cell>
          <cell r="C95">
            <v>3</v>
          </cell>
          <cell r="D95">
            <v>42593</v>
          </cell>
          <cell r="E95">
            <v>0</v>
          </cell>
          <cell r="F95" t="str">
            <v>Dir 6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 t="str">
            <v>x</v>
          </cell>
          <cell r="M95">
            <v>42614</v>
          </cell>
          <cell r="N95">
            <v>42643</v>
          </cell>
          <cell r="O95">
            <v>9</v>
          </cell>
          <cell r="P95" t="str">
            <v>x</v>
          </cell>
          <cell r="Q95" t="str">
            <v>Tuningszene "Alt-Mahlsdorf"</v>
          </cell>
          <cell r="R95">
            <v>0</v>
          </cell>
        </row>
        <row r="96">
          <cell r="B96" t="str">
            <v>16-09-8489</v>
          </cell>
          <cell r="C96">
            <v>4</v>
          </cell>
          <cell r="D96">
            <v>42593</v>
          </cell>
          <cell r="E96">
            <v>0</v>
          </cell>
          <cell r="F96" t="str">
            <v>PPr St II 4</v>
          </cell>
          <cell r="G96">
            <v>0</v>
          </cell>
          <cell r="H96" t="str">
            <v>x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42614</v>
          </cell>
          <cell r="N96">
            <v>42643</v>
          </cell>
          <cell r="O96">
            <v>9</v>
          </cell>
          <cell r="P96">
            <v>0</v>
          </cell>
          <cell r="Q96" t="str">
            <v>Profilierungsfahrten City West</v>
          </cell>
          <cell r="R96" t="str">
            <v>Schirmkonzeption</v>
          </cell>
        </row>
        <row r="97">
          <cell r="B97" t="str">
            <v>16-09-8488</v>
          </cell>
          <cell r="C97">
            <v>4</v>
          </cell>
          <cell r="D97">
            <v>42593</v>
          </cell>
          <cell r="E97">
            <v>0</v>
          </cell>
          <cell r="F97" t="str">
            <v>Dir 1</v>
          </cell>
          <cell r="G97" t="str">
            <v>x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42614</v>
          </cell>
          <cell r="N97">
            <v>42643</v>
          </cell>
          <cell r="O97">
            <v>9</v>
          </cell>
          <cell r="P97" t="str">
            <v>x</v>
          </cell>
          <cell r="Q97" t="str">
            <v>Geschwindigkeitsüberwachung</v>
          </cell>
          <cell r="R97">
            <v>0</v>
          </cell>
        </row>
        <row r="98">
          <cell r="B98" t="str">
            <v>16-09-8487</v>
          </cell>
          <cell r="C98">
            <v>4</v>
          </cell>
          <cell r="D98">
            <v>42593</v>
          </cell>
          <cell r="E98">
            <v>0</v>
          </cell>
          <cell r="F98" t="str">
            <v>Dir 1</v>
          </cell>
          <cell r="G98" t="str">
            <v>x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42614</v>
          </cell>
          <cell r="N98">
            <v>42643</v>
          </cell>
          <cell r="O98">
            <v>9</v>
          </cell>
          <cell r="P98" t="str">
            <v>x</v>
          </cell>
          <cell r="Q98" t="str">
            <v>Radfahrer im Prenzlberg</v>
          </cell>
          <cell r="R98">
            <v>0</v>
          </cell>
        </row>
        <row r="99">
          <cell r="B99" t="str">
            <v>16-09-8486</v>
          </cell>
          <cell r="C99">
            <v>4</v>
          </cell>
          <cell r="D99">
            <v>42593</v>
          </cell>
          <cell r="E99">
            <v>0</v>
          </cell>
          <cell r="F99" t="str">
            <v>Dir 2</v>
          </cell>
          <cell r="G99">
            <v>0</v>
          </cell>
          <cell r="H99" t="str">
            <v>x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42614</v>
          </cell>
          <cell r="N99">
            <v>42643</v>
          </cell>
          <cell r="O99">
            <v>9</v>
          </cell>
          <cell r="P99" t="str">
            <v>x</v>
          </cell>
          <cell r="Q99" t="str">
            <v>Verkehrssicherheit Radfahrer</v>
          </cell>
          <cell r="R99">
            <v>0</v>
          </cell>
        </row>
        <row r="100">
          <cell r="B100" t="str">
            <v>16-09-8485</v>
          </cell>
          <cell r="C100">
            <v>4</v>
          </cell>
          <cell r="D100">
            <v>42593</v>
          </cell>
          <cell r="E100">
            <v>0</v>
          </cell>
          <cell r="F100" t="str">
            <v>Dir 2</v>
          </cell>
          <cell r="G100">
            <v>0</v>
          </cell>
          <cell r="H100" t="str">
            <v>x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42614</v>
          </cell>
          <cell r="N100">
            <v>42643</v>
          </cell>
          <cell r="O100">
            <v>9</v>
          </cell>
          <cell r="P100" t="str">
            <v>x</v>
          </cell>
          <cell r="Q100" t="str">
            <v>VU-Bekämpfung an örtl. Brennpunkten</v>
          </cell>
          <cell r="R100">
            <v>0</v>
          </cell>
        </row>
        <row r="101">
          <cell r="B101" t="str">
            <v>16-09-8484</v>
          </cell>
          <cell r="C101">
            <v>4</v>
          </cell>
          <cell r="D101">
            <v>42593</v>
          </cell>
          <cell r="E101">
            <v>0</v>
          </cell>
          <cell r="F101" t="str">
            <v>Dir 3</v>
          </cell>
          <cell r="G101">
            <v>0</v>
          </cell>
          <cell r="H101">
            <v>0</v>
          </cell>
          <cell r="I101" t="str">
            <v>x</v>
          </cell>
          <cell r="J101">
            <v>0</v>
          </cell>
          <cell r="K101">
            <v>0</v>
          </cell>
          <cell r="L101">
            <v>0</v>
          </cell>
          <cell r="M101">
            <v>42614</v>
          </cell>
          <cell r="N101">
            <v>42643</v>
          </cell>
          <cell r="O101">
            <v>9</v>
          </cell>
          <cell r="P101" t="str">
            <v>x</v>
          </cell>
          <cell r="Q101" t="str">
            <v>VU-Bekämpfung an örtl. Brennpunkten</v>
          </cell>
          <cell r="R101">
            <v>0</v>
          </cell>
        </row>
        <row r="102">
          <cell r="B102" t="str">
            <v>16-09-8483</v>
          </cell>
          <cell r="C102">
            <v>4</v>
          </cell>
          <cell r="D102">
            <v>42593</v>
          </cell>
          <cell r="E102">
            <v>0</v>
          </cell>
          <cell r="F102" t="str">
            <v>Dir 4</v>
          </cell>
          <cell r="G102">
            <v>0</v>
          </cell>
          <cell r="H102">
            <v>0</v>
          </cell>
          <cell r="I102">
            <v>0</v>
          </cell>
          <cell r="J102" t="str">
            <v>x</v>
          </cell>
          <cell r="K102">
            <v>0</v>
          </cell>
          <cell r="L102">
            <v>0</v>
          </cell>
          <cell r="M102">
            <v>42614</v>
          </cell>
          <cell r="N102">
            <v>42643</v>
          </cell>
          <cell r="O102">
            <v>9</v>
          </cell>
          <cell r="P102" t="str">
            <v>x</v>
          </cell>
          <cell r="Q102" t="str">
            <v>Verkehrssicherheit Senioren</v>
          </cell>
          <cell r="R102">
            <v>0</v>
          </cell>
        </row>
        <row r="103">
          <cell r="B103" t="str">
            <v>16-09-8482</v>
          </cell>
          <cell r="C103">
            <v>4</v>
          </cell>
          <cell r="D103">
            <v>42593</v>
          </cell>
          <cell r="E103">
            <v>0</v>
          </cell>
          <cell r="F103" t="str">
            <v>Dir 5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x</v>
          </cell>
          <cell r="L103">
            <v>0</v>
          </cell>
          <cell r="M103">
            <v>42614</v>
          </cell>
          <cell r="N103">
            <v>42643</v>
          </cell>
          <cell r="O103">
            <v>9</v>
          </cell>
          <cell r="P103" t="str">
            <v>x</v>
          </cell>
          <cell r="Q103" t="str">
            <v>Busspuren</v>
          </cell>
          <cell r="R103">
            <v>0</v>
          </cell>
        </row>
        <row r="104">
          <cell r="B104" t="str">
            <v>16-09-8481</v>
          </cell>
          <cell r="C104">
            <v>4</v>
          </cell>
          <cell r="D104">
            <v>42593</v>
          </cell>
          <cell r="E104">
            <v>0</v>
          </cell>
          <cell r="F104" t="str">
            <v>Dir 5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x</v>
          </cell>
          <cell r="L104">
            <v>0</v>
          </cell>
          <cell r="M104">
            <v>42614</v>
          </cell>
          <cell r="N104">
            <v>42643</v>
          </cell>
          <cell r="O104">
            <v>9</v>
          </cell>
          <cell r="P104" t="str">
            <v>x</v>
          </cell>
          <cell r="Q104" t="str">
            <v>Verkehrssicherheit Radfahrer A 56</v>
          </cell>
          <cell r="R104">
            <v>0</v>
          </cell>
        </row>
        <row r="105">
          <cell r="B105" t="str">
            <v>16-09-8480</v>
          </cell>
          <cell r="C105">
            <v>4</v>
          </cell>
          <cell r="D105">
            <v>42593</v>
          </cell>
          <cell r="E105">
            <v>0</v>
          </cell>
          <cell r="F105" t="str">
            <v>Dir 5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x</v>
          </cell>
          <cell r="L105">
            <v>0</v>
          </cell>
          <cell r="M105">
            <v>42614</v>
          </cell>
          <cell r="N105">
            <v>42643</v>
          </cell>
          <cell r="O105">
            <v>9</v>
          </cell>
          <cell r="P105" t="str">
            <v>x</v>
          </cell>
          <cell r="Q105" t="str">
            <v>Geschwindigkeitsüberwachung</v>
          </cell>
          <cell r="R105">
            <v>0</v>
          </cell>
        </row>
        <row r="106">
          <cell r="B106" t="str">
            <v>16-09-8479</v>
          </cell>
          <cell r="C106">
            <v>4</v>
          </cell>
          <cell r="D106">
            <v>42593</v>
          </cell>
          <cell r="E106">
            <v>0</v>
          </cell>
          <cell r="F106" t="str">
            <v>Dir 6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 t="str">
            <v>x</v>
          </cell>
          <cell r="M106">
            <v>42614</v>
          </cell>
          <cell r="N106">
            <v>42643</v>
          </cell>
          <cell r="O106">
            <v>9</v>
          </cell>
          <cell r="P106" t="str">
            <v>x</v>
          </cell>
          <cell r="Q106" t="str">
            <v>Geschwindigkeitsüberwachung</v>
          </cell>
          <cell r="R106">
            <v>0</v>
          </cell>
        </row>
        <row r="107">
          <cell r="B107" t="str">
            <v>16-09-8478</v>
          </cell>
          <cell r="C107">
            <v>4</v>
          </cell>
          <cell r="D107">
            <v>42594</v>
          </cell>
          <cell r="E107">
            <v>0</v>
          </cell>
          <cell r="F107" t="str">
            <v>PPr St II 4</v>
          </cell>
          <cell r="G107" t="str">
            <v>x</v>
          </cell>
          <cell r="H107" t="str">
            <v>x</v>
          </cell>
          <cell r="I107" t="str">
            <v>x</v>
          </cell>
          <cell r="J107" t="str">
            <v>x</v>
          </cell>
          <cell r="K107" t="str">
            <v>x</v>
          </cell>
          <cell r="L107" t="str">
            <v>x</v>
          </cell>
          <cell r="M107">
            <v>42625</v>
          </cell>
          <cell r="N107">
            <v>42629</v>
          </cell>
          <cell r="O107">
            <v>9</v>
          </cell>
          <cell r="P107">
            <v>0</v>
          </cell>
          <cell r="Q107" t="str">
            <v>Schulwegüberwachung</v>
          </cell>
          <cell r="R107" t="str">
            <v>Schirmkonzeption</v>
          </cell>
        </row>
        <row r="108">
          <cell r="B108" t="str">
            <v>16-10-8299</v>
          </cell>
          <cell r="C108">
            <v>2</v>
          </cell>
          <cell r="D108">
            <v>42636</v>
          </cell>
          <cell r="E108">
            <v>0</v>
          </cell>
          <cell r="F108" t="str">
            <v>PPr St II 4</v>
          </cell>
          <cell r="G108">
            <v>0</v>
          </cell>
          <cell r="H108" t="str">
            <v>x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42644</v>
          </cell>
          <cell r="N108">
            <v>42674</v>
          </cell>
          <cell r="O108">
            <v>10</v>
          </cell>
          <cell r="P108">
            <v>0</v>
          </cell>
          <cell r="Q108" t="str">
            <v>Profilierungsfahrten City West</v>
          </cell>
          <cell r="R108" t="str">
            <v>Schirmkonzeption</v>
          </cell>
        </row>
        <row r="109">
          <cell r="B109" t="str">
            <v>16-10-8398</v>
          </cell>
          <cell r="C109">
            <v>3</v>
          </cell>
          <cell r="D109">
            <v>42636</v>
          </cell>
          <cell r="E109">
            <v>0</v>
          </cell>
          <cell r="F109" t="str">
            <v>PPr St II 4</v>
          </cell>
          <cell r="G109">
            <v>0</v>
          </cell>
          <cell r="H109">
            <v>0</v>
          </cell>
          <cell r="I109" t="str">
            <v>x</v>
          </cell>
          <cell r="J109">
            <v>0</v>
          </cell>
          <cell r="K109">
            <v>0</v>
          </cell>
          <cell r="L109">
            <v>0</v>
          </cell>
          <cell r="M109">
            <v>42644</v>
          </cell>
          <cell r="N109">
            <v>42674</v>
          </cell>
          <cell r="O109">
            <v>10</v>
          </cell>
          <cell r="P109">
            <v>0</v>
          </cell>
          <cell r="Q109" t="str">
            <v>Abbiegen/Vorfahrt A 35</v>
          </cell>
          <cell r="R109" t="str">
            <v>Schirmkonzeption</v>
          </cell>
        </row>
        <row r="110">
          <cell r="B110" t="str">
            <v>16-10-8397</v>
          </cell>
          <cell r="C110">
            <v>3</v>
          </cell>
          <cell r="D110">
            <v>42636</v>
          </cell>
          <cell r="E110">
            <v>0</v>
          </cell>
          <cell r="F110" t="str">
            <v>Dir 2</v>
          </cell>
          <cell r="G110">
            <v>0</v>
          </cell>
          <cell r="H110" t="str">
            <v>x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42644</v>
          </cell>
          <cell r="N110">
            <v>42674</v>
          </cell>
          <cell r="O110">
            <v>10</v>
          </cell>
          <cell r="P110" t="str">
            <v>x</v>
          </cell>
          <cell r="Q110" t="str">
            <v>Tuningszene "B1 West"</v>
          </cell>
          <cell r="R110">
            <v>0</v>
          </cell>
        </row>
        <row r="111">
          <cell r="B111" t="str">
            <v>16-10-8379</v>
          </cell>
          <cell r="C111">
            <v>3</v>
          </cell>
          <cell r="D111">
            <v>42636</v>
          </cell>
          <cell r="E111">
            <v>0</v>
          </cell>
          <cell r="F111" t="str">
            <v>Dir 2</v>
          </cell>
          <cell r="G111">
            <v>0</v>
          </cell>
          <cell r="H111" t="str">
            <v>x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42644</v>
          </cell>
          <cell r="N111">
            <v>42674</v>
          </cell>
          <cell r="O111">
            <v>10</v>
          </cell>
          <cell r="P111" t="str">
            <v>x</v>
          </cell>
          <cell r="Q111" t="str">
            <v>VU-Bekämpfung an örtl. Brennpunkten</v>
          </cell>
          <cell r="R111">
            <v>0</v>
          </cell>
        </row>
        <row r="112">
          <cell r="B112" t="str">
            <v>16-10-8396</v>
          </cell>
          <cell r="C112">
            <v>3</v>
          </cell>
          <cell r="D112">
            <v>42636</v>
          </cell>
          <cell r="E112">
            <v>0</v>
          </cell>
          <cell r="F112" t="str">
            <v>Dir 5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x</v>
          </cell>
          <cell r="L112">
            <v>0</v>
          </cell>
          <cell r="M112">
            <v>42644</v>
          </cell>
          <cell r="N112">
            <v>42674</v>
          </cell>
          <cell r="O112">
            <v>10</v>
          </cell>
          <cell r="P112" t="str">
            <v>x</v>
          </cell>
          <cell r="Q112" t="str">
            <v>Lade- und Lieferzonen</v>
          </cell>
          <cell r="R112">
            <v>0</v>
          </cell>
        </row>
        <row r="113">
          <cell r="B113" t="str">
            <v>16-10-8395</v>
          </cell>
          <cell r="C113">
            <v>3</v>
          </cell>
          <cell r="D113">
            <v>42636</v>
          </cell>
          <cell r="E113">
            <v>0</v>
          </cell>
          <cell r="F113" t="str">
            <v>Dir 5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x</v>
          </cell>
          <cell r="L113">
            <v>0</v>
          </cell>
          <cell r="M113">
            <v>42644</v>
          </cell>
          <cell r="N113">
            <v>42674</v>
          </cell>
          <cell r="O113">
            <v>10</v>
          </cell>
          <cell r="P113" t="str">
            <v>x</v>
          </cell>
          <cell r="Q113" t="str">
            <v>Senkung VU-Zahlen in Friedrichshain</v>
          </cell>
          <cell r="R113">
            <v>0</v>
          </cell>
        </row>
        <row r="114">
          <cell r="B114" t="str">
            <v>16-10-8394</v>
          </cell>
          <cell r="C114">
            <v>3</v>
          </cell>
          <cell r="D114">
            <v>42636</v>
          </cell>
          <cell r="E114">
            <v>0</v>
          </cell>
          <cell r="F114" t="str">
            <v>Dir 5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x</v>
          </cell>
          <cell r="L114">
            <v>0</v>
          </cell>
          <cell r="M114">
            <v>42644</v>
          </cell>
          <cell r="N114">
            <v>42674</v>
          </cell>
          <cell r="O114">
            <v>10</v>
          </cell>
          <cell r="P114" t="str">
            <v>x</v>
          </cell>
          <cell r="Q114" t="str">
            <v>Verkehrssicherheit Radfahrer Dir 5 St 14</v>
          </cell>
          <cell r="R114">
            <v>0</v>
          </cell>
        </row>
        <row r="115">
          <cell r="B115" t="str">
            <v>16-10-8393</v>
          </cell>
          <cell r="C115">
            <v>3</v>
          </cell>
          <cell r="D115">
            <v>42636</v>
          </cell>
          <cell r="E115">
            <v>0</v>
          </cell>
          <cell r="F115" t="str">
            <v>Dir 5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x</v>
          </cell>
          <cell r="L115">
            <v>0</v>
          </cell>
          <cell r="M115">
            <v>42644</v>
          </cell>
          <cell r="N115">
            <v>42674</v>
          </cell>
          <cell r="O115">
            <v>10</v>
          </cell>
          <cell r="P115" t="str">
            <v>x</v>
          </cell>
          <cell r="Q115" t="str">
            <v>VÜ Columbiadamm</v>
          </cell>
          <cell r="R115">
            <v>0</v>
          </cell>
        </row>
        <row r="116">
          <cell r="B116" t="str">
            <v>16-10-8392</v>
          </cell>
          <cell r="C116">
            <v>3</v>
          </cell>
          <cell r="D116">
            <v>42636</v>
          </cell>
          <cell r="E116">
            <v>0</v>
          </cell>
          <cell r="F116" t="str">
            <v>Dir 5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x</v>
          </cell>
          <cell r="L116">
            <v>0</v>
          </cell>
          <cell r="M116">
            <v>42644</v>
          </cell>
          <cell r="N116">
            <v>42674</v>
          </cell>
          <cell r="O116">
            <v>10</v>
          </cell>
          <cell r="P116" t="str">
            <v>x</v>
          </cell>
          <cell r="Q116" t="str">
            <v>Geschwindigkeitsüberwachung</v>
          </cell>
          <cell r="R116">
            <v>0</v>
          </cell>
        </row>
        <row r="117">
          <cell r="B117" t="str">
            <v>16-10-8391</v>
          </cell>
          <cell r="C117">
            <v>3</v>
          </cell>
          <cell r="D117">
            <v>42636</v>
          </cell>
          <cell r="E117">
            <v>0</v>
          </cell>
          <cell r="F117" t="str">
            <v>Dir 5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x</v>
          </cell>
          <cell r="L117">
            <v>0</v>
          </cell>
          <cell r="M117">
            <v>42644</v>
          </cell>
          <cell r="N117">
            <v>42674</v>
          </cell>
          <cell r="O117">
            <v>10</v>
          </cell>
          <cell r="P117" t="str">
            <v>x</v>
          </cell>
          <cell r="Q117" t="str">
            <v>Busspuren</v>
          </cell>
          <cell r="R117">
            <v>0</v>
          </cell>
        </row>
        <row r="118">
          <cell r="B118" t="str">
            <v>16-10-8390</v>
          </cell>
          <cell r="C118">
            <v>3</v>
          </cell>
          <cell r="D118">
            <v>42636</v>
          </cell>
          <cell r="E118">
            <v>0</v>
          </cell>
          <cell r="F118" t="str">
            <v>Dir 6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 t="str">
            <v>x</v>
          </cell>
          <cell r="M118">
            <v>42644</v>
          </cell>
          <cell r="N118">
            <v>42674</v>
          </cell>
          <cell r="O118">
            <v>10</v>
          </cell>
          <cell r="P118" t="str">
            <v>x</v>
          </cell>
          <cell r="Q118" t="str">
            <v>Tuningszene "Alt-Mahlsdorf"</v>
          </cell>
          <cell r="R118">
            <v>0</v>
          </cell>
        </row>
        <row r="119">
          <cell r="B119" t="str">
            <v>16-10-8489</v>
          </cell>
          <cell r="C119">
            <v>4</v>
          </cell>
          <cell r="D119">
            <v>42636</v>
          </cell>
          <cell r="E119">
            <v>0</v>
          </cell>
          <cell r="F119" t="str">
            <v>PPr St II 4</v>
          </cell>
          <cell r="G119">
            <v>0</v>
          </cell>
          <cell r="H119" t="str">
            <v>x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42644</v>
          </cell>
          <cell r="N119">
            <v>42674</v>
          </cell>
          <cell r="O119">
            <v>10</v>
          </cell>
          <cell r="P119">
            <v>0</v>
          </cell>
          <cell r="Q119" t="str">
            <v>Profilierungsfahrten City West</v>
          </cell>
          <cell r="R119" t="str">
            <v>Schirmkonzeption</v>
          </cell>
        </row>
        <row r="120">
          <cell r="B120" t="str">
            <v>16-10-8488</v>
          </cell>
          <cell r="C120">
            <v>4</v>
          </cell>
          <cell r="D120">
            <v>42636</v>
          </cell>
          <cell r="E120">
            <v>0</v>
          </cell>
          <cell r="F120" t="str">
            <v>Dir 1</v>
          </cell>
          <cell r="G120" t="str">
            <v>x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42644</v>
          </cell>
          <cell r="N120">
            <v>42674</v>
          </cell>
          <cell r="O120">
            <v>10</v>
          </cell>
          <cell r="P120" t="str">
            <v>x</v>
          </cell>
          <cell r="Q120" t="str">
            <v>Geschwindigkeitsüberwachung</v>
          </cell>
          <cell r="R120">
            <v>0</v>
          </cell>
        </row>
        <row r="121">
          <cell r="B121" t="str">
            <v>16-10-8487</v>
          </cell>
          <cell r="C121">
            <v>4</v>
          </cell>
          <cell r="D121">
            <v>42636</v>
          </cell>
          <cell r="E121">
            <v>0</v>
          </cell>
          <cell r="F121" t="str">
            <v>Dir 1</v>
          </cell>
          <cell r="G121" t="str">
            <v>x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42644</v>
          </cell>
          <cell r="N121">
            <v>42674</v>
          </cell>
          <cell r="O121">
            <v>10</v>
          </cell>
          <cell r="P121" t="str">
            <v>x</v>
          </cell>
          <cell r="Q121" t="str">
            <v>Radfahrer im Prenzlberg</v>
          </cell>
          <cell r="R121">
            <v>0</v>
          </cell>
        </row>
        <row r="122">
          <cell r="B122" t="str">
            <v>16-10-8486</v>
          </cell>
          <cell r="C122">
            <v>4</v>
          </cell>
          <cell r="D122">
            <v>42636</v>
          </cell>
          <cell r="E122">
            <v>0</v>
          </cell>
          <cell r="F122" t="str">
            <v>Dir 1</v>
          </cell>
          <cell r="G122" t="str">
            <v>x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42644</v>
          </cell>
          <cell r="N122">
            <v>42674</v>
          </cell>
          <cell r="O122">
            <v>10</v>
          </cell>
          <cell r="P122" t="str">
            <v>x</v>
          </cell>
          <cell r="Q122" t="str">
            <v>Geschwindigkeit Schulweg</v>
          </cell>
          <cell r="R122">
            <v>0</v>
          </cell>
        </row>
        <row r="123">
          <cell r="B123" t="str">
            <v>16-10-8485</v>
          </cell>
          <cell r="C123">
            <v>4</v>
          </cell>
          <cell r="D123">
            <v>42636</v>
          </cell>
          <cell r="E123">
            <v>0</v>
          </cell>
          <cell r="F123" t="str">
            <v>Dir 2</v>
          </cell>
          <cell r="G123">
            <v>0</v>
          </cell>
          <cell r="H123" t="str">
            <v>x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42644</v>
          </cell>
          <cell r="N123">
            <v>42674</v>
          </cell>
          <cell r="O123">
            <v>10</v>
          </cell>
          <cell r="P123" t="str">
            <v>x</v>
          </cell>
          <cell r="Q123" t="str">
            <v>Verkehrssicherheit Radfahrer</v>
          </cell>
          <cell r="R123">
            <v>0</v>
          </cell>
        </row>
        <row r="124">
          <cell r="B124" t="str">
            <v>16-10-8484</v>
          </cell>
          <cell r="C124">
            <v>4</v>
          </cell>
          <cell r="D124">
            <v>42636</v>
          </cell>
          <cell r="E124">
            <v>0</v>
          </cell>
          <cell r="F124" t="str">
            <v>Dir 2</v>
          </cell>
          <cell r="G124">
            <v>0</v>
          </cell>
          <cell r="H124" t="str">
            <v>x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42644</v>
          </cell>
          <cell r="N124">
            <v>42674</v>
          </cell>
          <cell r="O124">
            <v>10</v>
          </cell>
          <cell r="P124" t="str">
            <v>x</v>
          </cell>
          <cell r="Q124" t="str">
            <v>VU-Bekämpfung an örtl. Brennpunkten</v>
          </cell>
          <cell r="R124">
            <v>0</v>
          </cell>
        </row>
        <row r="125">
          <cell r="B125" t="str">
            <v>16-10-8483</v>
          </cell>
          <cell r="C125">
            <v>4</v>
          </cell>
          <cell r="D125">
            <v>42636</v>
          </cell>
          <cell r="E125">
            <v>0</v>
          </cell>
          <cell r="F125" t="str">
            <v>Dir 3</v>
          </cell>
          <cell r="G125">
            <v>0</v>
          </cell>
          <cell r="H125">
            <v>0</v>
          </cell>
          <cell r="I125" t="str">
            <v>x</v>
          </cell>
          <cell r="J125">
            <v>0</v>
          </cell>
          <cell r="K125">
            <v>0</v>
          </cell>
          <cell r="L125">
            <v>0</v>
          </cell>
          <cell r="M125">
            <v>42644</v>
          </cell>
          <cell r="N125">
            <v>42674</v>
          </cell>
          <cell r="O125">
            <v>10</v>
          </cell>
          <cell r="P125" t="str">
            <v>x</v>
          </cell>
          <cell r="Q125" t="str">
            <v>VU-Bekämpfung an örtl. Brennpunkten</v>
          </cell>
          <cell r="R125">
            <v>0</v>
          </cell>
        </row>
        <row r="126">
          <cell r="B126" t="str">
            <v>16-10-8482</v>
          </cell>
          <cell r="C126">
            <v>4</v>
          </cell>
          <cell r="D126">
            <v>42636</v>
          </cell>
          <cell r="E126">
            <v>0</v>
          </cell>
          <cell r="F126" t="str">
            <v>Dir 4</v>
          </cell>
          <cell r="G126">
            <v>0</v>
          </cell>
          <cell r="H126">
            <v>0</v>
          </cell>
          <cell r="I126">
            <v>0</v>
          </cell>
          <cell r="J126" t="str">
            <v>x</v>
          </cell>
          <cell r="K126">
            <v>0</v>
          </cell>
          <cell r="L126">
            <v>0</v>
          </cell>
          <cell r="M126">
            <v>42644</v>
          </cell>
          <cell r="N126">
            <v>42674</v>
          </cell>
          <cell r="O126">
            <v>10</v>
          </cell>
          <cell r="P126" t="str">
            <v>x</v>
          </cell>
          <cell r="Q126" t="str">
            <v>Verkehrssicherheit Senioren</v>
          </cell>
          <cell r="R126">
            <v>0</v>
          </cell>
        </row>
        <row r="127">
          <cell r="B127" t="str">
            <v>16-10-8481</v>
          </cell>
          <cell r="C127">
            <v>4</v>
          </cell>
          <cell r="D127">
            <v>42636</v>
          </cell>
          <cell r="E127">
            <v>0</v>
          </cell>
          <cell r="F127" t="str">
            <v>Dir 5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x</v>
          </cell>
          <cell r="L127">
            <v>0</v>
          </cell>
          <cell r="M127">
            <v>42644</v>
          </cell>
          <cell r="N127">
            <v>42674</v>
          </cell>
          <cell r="O127">
            <v>10</v>
          </cell>
          <cell r="P127" t="str">
            <v>x</v>
          </cell>
          <cell r="Q127" t="str">
            <v>Geschwindigkeitsüberwachung</v>
          </cell>
          <cell r="R127">
            <v>0</v>
          </cell>
        </row>
        <row r="128">
          <cell r="B128" t="str">
            <v>16-10-8480</v>
          </cell>
          <cell r="C128">
            <v>4</v>
          </cell>
          <cell r="D128">
            <v>42636</v>
          </cell>
          <cell r="E128">
            <v>0</v>
          </cell>
          <cell r="F128" t="str">
            <v>Dir 6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 t="str">
            <v>x</v>
          </cell>
          <cell r="M128">
            <v>42644</v>
          </cell>
          <cell r="N128">
            <v>42674</v>
          </cell>
          <cell r="O128">
            <v>10</v>
          </cell>
          <cell r="P128" t="str">
            <v>x</v>
          </cell>
          <cell r="Q128" t="str">
            <v>Geschwindigkeitsüberwachung</v>
          </cell>
          <cell r="R128">
            <v>0</v>
          </cell>
        </row>
        <row r="129"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 t="str">
            <v>PPr St II 4</v>
          </cell>
          <cell r="G129">
            <v>0</v>
          </cell>
          <cell r="H129" t="str">
            <v>x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42675</v>
          </cell>
          <cell r="N129">
            <v>42704</v>
          </cell>
          <cell r="O129">
            <v>11</v>
          </cell>
          <cell r="P129">
            <v>0</v>
          </cell>
          <cell r="Q129" t="str">
            <v>Profilierungsfahrten City West</v>
          </cell>
          <cell r="R129" t="str">
            <v>Schirmkonzeption</v>
          </cell>
        </row>
        <row r="130"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 t="str">
            <v>PPr St II 4</v>
          </cell>
          <cell r="G130">
            <v>0</v>
          </cell>
          <cell r="H130">
            <v>0</v>
          </cell>
          <cell r="I130" t="str">
            <v>x</v>
          </cell>
          <cell r="J130">
            <v>0</v>
          </cell>
          <cell r="K130">
            <v>0</v>
          </cell>
          <cell r="L130">
            <v>0</v>
          </cell>
          <cell r="M130">
            <v>42675</v>
          </cell>
          <cell r="N130">
            <v>42704</v>
          </cell>
          <cell r="O130">
            <v>11</v>
          </cell>
          <cell r="P130">
            <v>0</v>
          </cell>
          <cell r="Q130" t="str">
            <v>Abbiegen/Vorfahrt A 35</v>
          </cell>
          <cell r="R130" t="str">
            <v>Schirmkonzeption</v>
          </cell>
        </row>
        <row r="131"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 t="str">
            <v>Dir 2</v>
          </cell>
          <cell r="G131">
            <v>0</v>
          </cell>
          <cell r="H131" t="str">
            <v>x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42675</v>
          </cell>
          <cell r="N131">
            <v>42704</v>
          </cell>
          <cell r="O131">
            <v>11</v>
          </cell>
          <cell r="P131" t="str">
            <v>x</v>
          </cell>
          <cell r="Q131" t="str">
            <v>VU-Bekämpfung an örtl. Brennpunkten</v>
          </cell>
          <cell r="R131">
            <v>0</v>
          </cell>
        </row>
        <row r="132"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 t="str">
            <v>Dir 5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x</v>
          </cell>
          <cell r="L132">
            <v>0</v>
          </cell>
          <cell r="M132">
            <v>42675</v>
          </cell>
          <cell r="N132">
            <v>42704</v>
          </cell>
          <cell r="O132">
            <v>11</v>
          </cell>
          <cell r="P132" t="str">
            <v>x</v>
          </cell>
          <cell r="Q132" t="str">
            <v>Lade- und Lieferzonen A 52</v>
          </cell>
          <cell r="R132">
            <v>0</v>
          </cell>
        </row>
        <row r="133"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 t="str">
            <v>Dir 5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x</v>
          </cell>
          <cell r="L133">
            <v>0</v>
          </cell>
          <cell r="M133">
            <v>42675</v>
          </cell>
          <cell r="N133">
            <v>42704</v>
          </cell>
          <cell r="O133">
            <v>11</v>
          </cell>
          <cell r="P133" t="str">
            <v>x</v>
          </cell>
          <cell r="Q133" t="str">
            <v>Lade- und Lieferzonen A 53</v>
          </cell>
          <cell r="R133">
            <v>0</v>
          </cell>
        </row>
        <row r="134"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 t="str">
            <v>Dir 5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x</v>
          </cell>
          <cell r="L134">
            <v>0</v>
          </cell>
          <cell r="M134">
            <v>42675</v>
          </cell>
          <cell r="N134">
            <v>42704</v>
          </cell>
          <cell r="O134">
            <v>11</v>
          </cell>
          <cell r="P134" t="str">
            <v>x</v>
          </cell>
          <cell r="Q134" t="str">
            <v>Busspuren</v>
          </cell>
          <cell r="R134">
            <v>0</v>
          </cell>
        </row>
        <row r="135"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 t="str">
            <v>Dir 6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 t="str">
            <v>x</v>
          </cell>
          <cell r="M135">
            <v>42675</v>
          </cell>
          <cell r="N135">
            <v>42704</v>
          </cell>
          <cell r="O135">
            <v>11</v>
          </cell>
          <cell r="P135" t="str">
            <v>x</v>
          </cell>
          <cell r="Q135" t="str">
            <v>Geschwindigkeitsüberwachung</v>
          </cell>
          <cell r="R135">
            <v>0</v>
          </cell>
        </row>
        <row r="136"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 t="str">
            <v>PPr St II 4</v>
          </cell>
          <cell r="G136">
            <v>0</v>
          </cell>
          <cell r="H136" t="str">
            <v>x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42675</v>
          </cell>
          <cell r="N136">
            <v>42704</v>
          </cell>
          <cell r="O136">
            <v>11</v>
          </cell>
          <cell r="P136">
            <v>0</v>
          </cell>
          <cell r="Q136" t="str">
            <v>Profilierungsfahrten City West</v>
          </cell>
          <cell r="R136" t="str">
            <v>Schirmkonzeption</v>
          </cell>
        </row>
        <row r="137"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 t="str">
            <v>Dir 1</v>
          </cell>
          <cell r="G137" t="str">
            <v>x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42675</v>
          </cell>
          <cell r="N137">
            <v>42704</v>
          </cell>
          <cell r="O137">
            <v>11</v>
          </cell>
          <cell r="P137" t="str">
            <v>x</v>
          </cell>
          <cell r="Q137" t="str">
            <v>Geschwindigkeitsüberwachung</v>
          </cell>
          <cell r="R137">
            <v>0</v>
          </cell>
        </row>
        <row r="138"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 t="str">
            <v>Dir 1</v>
          </cell>
          <cell r="G138" t="str">
            <v>x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42675</v>
          </cell>
          <cell r="N138">
            <v>42704</v>
          </cell>
          <cell r="O138">
            <v>11</v>
          </cell>
          <cell r="P138" t="str">
            <v>x</v>
          </cell>
          <cell r="Q138" t="str">
            <v>Radfahrer im Prenzlberg</v>
          </cell>
          <cell r="R138">
            <v>0</v>
          </cell>
        </row>
        <row r="139"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 t="str">
            <v>Dir 2</v>
          </cell>
          <cell r="G139">
            <v>0</v>
          </cell>
          <cell r="H139" t="str">
            <v>x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42675</v>
          </cell>
          <cell r="N139">
            <v>42704</v>
          </cell>
          <cell r="O139">
            <v>11</v>
          </cell>
          <cell r="P139" t="str">
            <v>x</v>
          </cell>
          <cell r="Q139" t="str">
            <v>VU-Bekämpfung an örtl. Brennpunkten</v>
          </cell>
          <cell r="R139">
            <v>0</v>
          </cell>
        </row>
        <row r="140"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 t="str">
            <v>Dir 3</v>
          </cell>
          <cell r="G140">
            <v>0</v>
          </cell>
          <cell r="H140">
            <v>0</v>
          </cell>
          <cell r="I140" t="str">
            <v>x</v>
          </cell>
          <cell r="J140">
            <v>0</v>
          </cell>
          <cell r="K140">
            <v>0</v>
          </cell>
          <cell r="L140">
            <v>0</v>
          </cell>
          <cell r="M140">
            <v>42675</v>
          </cell>
          <cell r="N140">
            <v>42704</v>
          </cell>
          <cell r="O140">
            <v>11</v>
          </cell>
          <cell r="P140" t="str">
            <v>x</v>
          </cell>
          <cell r="Q140" t="str">
            <v>VU-Bekämpfung an örtl. Brennpunkten</v>
          </cell>
          <cell r="R140">
            <v>0</v>
          </cell>
        </row>
        <row r="141"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 t="str">
            <v>Dir 4</v>
          </cell>
          <cell r="G141">
            <v>0</v>
          </cell>
          <cell r="H141">
            <v>0</v>
          </cell>
          <cell r="I141">
            <v>0</v>
          </cell>
          <cell r="J141" t="str">
            <v>x</v>
          </cell>
          <cell r="K141">
            <v>0</v>
          </cell>
          <cell r="L141">
            <v>0</v>
          </cell>
          <cell r="M141">
            <v>42675</v>
          </cell>
          <cell r="N141">
            <v>42704</v>
          </cell>
          <cell r="O141">
            <v>11</v>
          </cell>
          <cell r="P141" t="str">
            <v>x</v>
          </cell>
          <cell r="Q141" t="str">
            <v>Verkehrssicherheit Senioren</v>
          </cell>
          <cell r="R141">
            <v>0</v>
          </cell>
        </row>
        <row r="142"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 t="str">
            <v>Dir 5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x</v>
          </cell>
          <cell r="L142">
            <v>0</v>
          </cell>
          <cell r="M142">
            <v>42675</v>
          </cell>
          <cell r="N142">
            <v>42704</v>
          </cell>
          <cell r="O142">
            <v>11</v>
          </cell>
          <cell r="P142" t="str">
            <v>x</v>
          </cell>
          <cell r="Q142" t="str">
            <v>Geschwindigkeitsüberwachung</v>
          </cell>
          <cell r="R142">
            <v>0</v>
          </cell>
        </row>
        <row r="143"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 t="str">
            <v>Dir 6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 t="str">
            <v>x</v>
          </cell>
          <cell r="M143">
            <v>42675</v>
          </cell>
          <cell r="N143">
            <v>42704</v>
          </cell>
          <cell r="O143">
            <v>11</v>
          </cell>
          <cell r="P143" t="str">
            <v>x</v>
          </cell>
          <cell r="Q143" t="str">
            <v>Geschwindigkeitsüberwachung</v>
          </cell>
          <cell r="R143">
            <v>0</v>
          </cell>
        </row>
        <row r="144"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</row>
        <row r="145"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</row>
        <row r="146"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</row>
        <row r="147"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</row>
        <row r="148"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</row>
        <row r="149"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</row>
        <row r="150"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</row>
        <row r="151"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</row>
        <row r="152"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</row>
        <row r="153"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</row>
        <row r="154"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</row>
        <row r="155"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</row>
        <row r="156"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</row>
        <row r="157"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</row>
        <row r="158"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</row>
        <row r="159"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</row>
        <row r="160"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</row>
        <row r="161"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</row>
        <row r="162"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</row>
        <row r="163"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</row>
        <row r="164"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</row>
        <row r="165"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</row>
        <row r="166"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</row>
        <row r="167"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</row>
        <row r="168"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</row>
        <row r="169"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</row>
        <row r="170"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</row>
        <row r="171"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</row>
        <row r="172"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</row>
        <row r="173"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</row>
        <row r="174"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</row>
        <row r="175"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</row>
        <row r="176"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</row>
        <row r="177"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</row>
        <row r="178"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</row>
        <row r="179"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</row>
        <row r="180"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</row>
        <row r="181"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</row>
        <row r="182"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</row>
        <row r="183"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</row>
        <row r="184"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</row>
        <row r="185"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</row>
        <row r="186"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</row>
        <row r="187"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</row>
        <row r="188"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</row>
        <row r="189"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</row>
        <row r="190"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</row>
        <row r="191"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</row>
        <row r="192"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</row>
        <row r="193"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</row>
        <row r="194"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</row>
        <row r="195"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</row>
        <row r="196"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</row>
        <row r="197"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</row>
        <row r="198"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</row>
        <row r="199"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</row>
        <row r="200"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</row>
        <row r="201"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</row>
        <row r="202"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</row>
        <row r="203"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</row>
        <row r="204"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</row>
        <row r="205"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</row>
        <row r="206"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</row>
        <row r="207"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</row>
        <row r="208"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</row>
        <row r="209"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</row>
        <row r="210"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</row>
        <row r="211"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</row>
        <row r="212"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</row>
        <row r="213"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</row>
        <row r="214"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</row>
        <row r="215"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</row>
        <row r="216"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</row>
        <row r="217"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</row>
        <row r="218"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</row>
        <row r="219"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</row>
        <row r="220"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</row>
        <row r="221"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</row>
        <row r="222"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</row>
        <row r="223"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</row>
        <row r="224"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</row>
        <row r="225"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</row>
        <row r="226"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</row>
        <row r="227"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</row>
        <row r="228"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</row>
        <row r="229"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</row>
        <row r="230"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</row>
        <row r="231"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</row>
        <row r="232"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</row>
        <row r="233"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</row>
        <row r="234"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</row>
        <row r="235"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</row>
        <row r="236"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</row>
        <row r="237"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</row>
        <row r="238"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</row>
        <row r="239"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</row>
        <row r="240"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</row>
        <row r="241"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</row>
        <row r="242"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</row>
        <row r="243"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</row>
        <row r="244"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</row>
        <row r="245"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</row>
        <row r="246"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</row>
        <row r="247"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</row>
        <row r="248"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</row>
        <row r="249"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</row>
        <row r="250"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</row>
        <row r="251"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</row>
        <row r="252"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</row>
        <row r="253"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</row>
        <row r="254"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</row>
        <row r="255"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</row>
        <row r="256"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</row>
        <row r="257"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</row>
        <row r="258"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</row>
        <row r="259"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</row>
        <row r="260"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</row>
        <row r="261"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</row>
        <row r="262"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</row>
        <row r="263"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</row>
        <row r="264"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</row>
        <row r="265"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</row>
        <row r="266"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</row>
        <row r="267"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</row>
        <row r="268"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</row>
        <row r="269"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</row>
        <row r="270"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</row>
        <row r="271"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</row>
        <row r="272"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</row>
        <row r="273"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</row>
        <row r="274"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</row>
        <row r="275"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</row>
        <row r="276"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</row>
        <row r="277"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</row>
        <row r="278"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</row>
        <row r="279"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</row>
        <row r="280"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</row>
        <row r="281"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</row>
        <row r="282"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</row>
        <row r="283"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</row>
        <row r="284"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</row>
        <row r="285"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</row>
        <row r="286"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</row>
        <row r="287"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</row>
        <row r="288"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</row>
        <row r="289"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</row>
        <row r="290"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</row>
        <row r="291"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</row>
        <row r="292"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</row>
        <row r="293"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</row>
        <row r="294"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</row>
        <row r="295"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</row>
        <row r="296"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</row>
        <row r="297"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</row>
        <row r="298"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</row>
        <row r="299"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</row>
        <row r="300"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</row>
        <row r="301"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</row>
        <row r="302"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</row>
        <row r="303"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</row>
        <row r="304"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</row>
        <row r="305"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</row>
        <row r="306"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</row>
        <row r="307"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</row>
        <row r="308"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</row>
        <row r="309"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</row>
        <row r="310"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</row>
        <row r="311"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</row>
        <row r="312"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</row>
        <row r="313"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</row>
        <row r="314"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</row>
        <row r="315"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</row>
        <row r="316"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</row>
        <row r="317"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</row>
        <row r="318"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</row>
        <row r="319"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</row>
        <row r="320"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</row>
        <row r="321"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</row>
        <row r="322"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</row>
        <row r="323"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</row>
        <row r="324"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</row>
        <row r="325"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</row>
        <row r="326"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</row>
        <row r="327"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</row>
        <row r="328"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</row>
        <row r="329"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</row>
        <row r="330"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</row>
        <row r="331"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</row>
        <row r="332"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</row>
        <row r="333"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</row>
        <row r="334"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</row>
        <row r="335"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</row>
        <row r="336"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</row>
        <row r="337"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</row>
        <row r="338"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</row>
        <row r="339"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</row>
        <row r="340"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</row>
        <row r="341"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</row>
        <row r="342"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</row>
        <row r="343"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</row>
        <row r="344"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</row>
        <row r="345"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</row>
        <row r="346"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</row>
        <row r="347"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</row>
        <row r="348"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</row>
        <row r="349"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</row>
        <row r="350"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</row>
        <row r="351"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</row>
        <row r="352"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</row>
        <row r="353"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</row>
        <row r="354"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</row>
        <row r="355"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</row>
        <row r="356"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</row>
        <row r="357"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</row>
        <row r="358"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</row>
        <row r="359"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</row>
        <row r="360"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</row>
        <row r="361"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</row>
        <row r="362"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</row>
        <row r="363"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</row>
        <row r="364"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</row>
        <row r="365"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</row>
        <row r="366"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</row>
        <row r="367"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</row>
        <row r="368"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</row>
        <row r="369"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</row>
        <row r="370"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</row>
        <row r="371"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</row>
        <row r="372"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</row>
        <row r="373"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</row>
        <row r="374"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</row>
        <row r="375"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</row>
        <row r="376"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</row>
        <row r="377"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</row>
        <row r="378"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</row>
        <row r="379"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</row>
        <row r="380"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</row>
        <row r="381"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</row>
        <row r="382"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</row>
        <row r="383"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</row>
        <row r="384"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</row>
        <row r="385"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</row>
        <row r="386"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</row>
        <row r="387"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</row>
        <row r="388"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</row>
        <row r="389"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</row>
        <row r="390"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</row>
        <row r="391"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</row>
        <row r="392"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</row>
        <row r="393"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</row>
        <row r="394"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</row>
        <row r="395"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</row>
        <row r="396"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</row>
        <row r="397"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</row>
        <row r="398"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</row>
        <row r="399"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</row>
        <row r="400"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</row>
        <row r="401"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rgb="FF92D050"/>
  </sheetPr>
  <dimension ref="A1:XFC31"/>
  <sheetViews>
    <sheetView workbookViewId="0">
      <selection activeCell="D7" sqref="D7"/>
    </sheetView>
  </sheetViews>
  <sheetFormatPr baseColWidth="10" defaultColWidth="0" defaultRowHeight="15" customHeight="1" zeroHeight="1" x14ac:dyDescent="0.25"/>
  <cols>
    <col min="1" max="1" width="3.28515625" style="1" customWidth="1"/>
    <col min="2" max="2" width="37.5703125" style="1" customWidth="1"/>
    <col min="3" max="3" width="28.5703125" style="1" customWidth="1"/>
    <col min="4" max="4" width="62.140625" style="1" customWidth="1"/>
    <col min="5" max="5" width="3.85546875" style="1" customWidth="1"/>
    <col min="6" max="16383" width="11.42578125" style="1" hidden="1"/>
    <col min="16384" max="16384" width="2.5703125" style="1" hidden="1"/>
  </cols>
  <sheetData>
    <row r="1" spans="1:11" s="5" customFormat="1" ht="72.75" customHeight="1" x14ac:dyDescent="0.25">
      <c r="A1" s="12"/>
      <c r="B1" s="150" t="s">
        <v>56</v>
      </c>
      <c r="C1" s="150"/>
      <c r="D1" s="150"/>
      <c r="E1" s="2"/>
      <c r="F1" s="3"/>
      <c r="G1" s="4"/>
      <c r="H1" s="4"/>
      <c r="I1" s="4"/>
      <c r="J1" s="4"/>
      <c r="K1" s="4"/>
    </row>
    <row r="2" spans="1:11" x14ac:dyDescent="0.25">
      <c r="A2" s="6"/>
      <c r="B2" s="7"/>
      <c r="C2" s="7" t="s">
        <v>0</v>
      </c>
      <c r="D2" s="6" t="s">
        <v>1</v>
      </c>
      <c r="E2" s="8" t="s">
        <v>2</v>
      </c>
      <c r="F2" s="9"/>
      <c r="G2" s="9"/>
      <c r="H2" s="9"/>
      <c r="I2" s="9"/>
      <c r="J2" s="9"/>
      <c r="K2" s="9"/>
    </row>
    <row r="3" spans="1:11" x14ac:dyDescent="0.25">
      <c r="A3" s="6"/>
      <c r="B3" s="6"/>
      <c r="C3" s="7"/>
      <c r="D3" s="6" t="s">
        <v>3</v>
      </c>
      <c r="E3" s="8" t="s">
        <v>4</v>
      </c>
      <c r="F3" s="9"/>
      <c r="G3" s="9"/>
      <c r="H3" s="9"/>
      <c r="I3" s="9"/>
      <c r="J3" s="9"/>
      <c r="K3" s="9"/>
    </row>
    <row r="4" spans="1:11" x14ac:dyDescent="0.25">
      <c r="A4" s="6"/>
      <c r="B4" s="6"/>
      <c r="C4" s="7"/>
      <c r="D4" s="6" t="s">
        <v>5</v>
      </c>
      <c r="E4" s="8" t="s">
        <v>6</v>
      </c>
      <c r="F4" s="9"/>
      <c r="G4" s="9"/>
      <c r="H4" s="9"/>
      <c r="I4" s="9"/>
      <c r="J4" s="9"/>
      <c r="K4" s="9"/>
    </row>
    <row r="5" spans="1:11" x14ac:dyDescent="0.25">
      <c r="A5" s="6"/>
      <c r="B5" s="6"/>
      <c r="C5" s="7"/>
      <c r="D5" s="6" t="s">
        <v>7</v>
      </c>
      <c r="E5" s="8" t="s">
        <v>8</v>
      </c>
      <c r="F5" s="9"/>
      <c r="G5" s="9"/>
      <c r="H5" s="9"/>
      <c r="I5" s="9"/>
      <c r="J5" s="9"/>
      <c r="K5" s="9"/>
    </row>
    <row r="6" spans="1:11" x14ac:dyDescent="0.25">
      <c r="A6" s="6"/>
      <c r="B6" s="6"/>
      <c r="C6" s="7"/>
      <c r="D6" s="6"/>
      <c r="E6" s="8" t="s">
        <v>9</v>
      </c>
      <c r="F6" s="9"/>
      <c r="G6" s="9"/>
      <c r="H6" s="9"/>
      <c r="I6" s="9"/>
      <c r="J6" s="9"/>
      <c r="K6" s="9"/>
    </row>
    <row r="7" spans="1:11" x14ac:dyDescent="0.25">
      <c r="A7" s="6"/>
      <c r="B7" s="6"/>
      <c r="C7" s="7"/>
      <c r="D7" s="48"/>
      <c r="E7" s="8" t="s">
        <v>10</v>
      </c>
      <c r="F7" s="9"/>
      <c r="G7" s="9"/>
      <c r="H7" s="9"/>
      <c r="I7" s="9"/>
      <c r="J7" s="9"/>
      <c r="K7" s="9"/>
    </row>
    <row r="8" spans="1:11" ht="127.5" customHeight="1" x14ac:dyDescent="0.25">
      <c r="A8" s="6"/>
      <c r="B8" s="6"/>
      <c r="C8" s="7"/>
      <c r="D8" s="49"/>
      <c r="E8" s="8" t="s">
        <v>11</v>
      </c>
      <c r="F8" s="9"/>
      <c r="G8" s="9"/>
      <c r="H8" s="9"/>
      <c r="I8" s="9"/>
      <c r="J8" s="9"/>
      <c r="K8" s="9"/>
    </row>
    <row r="9" spans="1:11" x14ac:dyDescent="0.25">
      <c r="A9" s="8">
        <v>1</v>
      </c>
      <c r="B9" s="7"/>
      <c r="C9" s="7" t="s">
        <v>12</v>
      </c>
      <c r="D9" s="6" t="s">
        <v>13</v>
      </c>
      <c r="E9" s="8" t="s">
        <v>14</v>
      </c>
      <c r="F9" s="9"/>
      <c r="G9" s="9"/>
      <c r="H9" s="9"/>
      <c r="I9" s="9"/>
      <c r="J9" s="9"/>
      <c r="K9" s="9"/>
    </row>
    <row r="10" spans="1:11" x14ac:dyDescent="0.25">
      <c r="A10" s="8">
        <v>2</v>
      </c>
      <c r="B10" s="6"/>
      <c r="C10" s="7" t="s">
        <v>15</v>
      </c>
      <c r="D10" s="15" t="s">
        <v>22</v>
      </c>
      <c r="E10" s="8" t="s">
        <v>16</v>
      </c>
      <c r="F10" s="9"/>
      <c r="G10" s="9"/>
      <c r="H10" s="9"/>
      <c r="I10" s="9"/>
      <c r="J10" s="9"/>
      <c r="K10" s="9"/>
    </row>
    <row r="11" spans="1:11" x14ac:dyDescent="0.25">
      <c r="A11" s="8">
        <v>3</v>
      </c>
      <c r="B11" s="6"/>
      <c r="C11" s="7" t="s">
        <v>17</v>
      </c>
      <c r="D11" s="10">
        <v>42914</v>
      </c>
      <c r="E11" s="8" t="s">
        <v>18</v>
      </c>
      <c r="F11" s="9"/>
      <c r="G11" s="9"/>
      <c r="H11" s="9"/>
      <c r="I11" s="9"/>
      <c r="J11" s="9"/>
      <c r="K11" s="9"/>
    </row>
    <row r="12" spans="1:11" x14ac:dyDescent="0.25">
      <c r="A12" s="8">
        <v>0</v>
      </c>
      <c r="B12" s="6"/>
      <c r="C12" s="7"/>
      <c r="D12" s="6"/>
      <c r="E12" s="8" t="s">
        <v>19</v>
      </c>
      <c r="F12" s="9"/>
      <c r="G12" s="9"/>
      <c r="H12" s="9"/>
      <c r="I12" s="9"/>
      <c r="J12" s="9"/>
      <c r="K12" s="9"/>
    </row>
    <row r="13" spans="1:11" x14ac:dyDescent="0.25">
      <c r="A13" s="6"/>
      <c r="B13" s="8"/>
      <c r="C13" s="8">
        <v>2</v>
      </c>
      <c r="D13" s="8">
        <v>3</v>
      </c>
      <c r="E13" s="8" t="s">
        <v>20</v>
      </c>
      <c r="F13" s="9"/>
      <c r="G13" s="9"/>
      <c r="H13" s="9"/>
      <c r="I13" s="9"/>
      <c r="J13" s="9"/>
      <c r="K13" s="9"/>
    </row>
    <row r="14" spans="1:11" x14ac:dyDescent="0.25">
      <c r="A14" s="6"/>
      <c r="B14" s="6"/>
      <c r="C14" s="7" t="s">
        <v>21</v>
      </c>
      <c r="D14" s="6"/>
      <c r="E14" s="6"/>
      <c r="F14" s="9"/>
      <c r="G14" s="9"/>
      <c r="H14" s="9"/>
      <c r="I14" s="9"/>
      <c r="J14" s="9"/>
      <c r="K14" s="9"/>
    </row>
    <row r="15" spans="1:11" x14ac:dyDescent="0.25">
      <c r="A15" s="6"/>
      <c r="B15" s="6"/>
      <c r="C15" s="6"/>
      <c r="D15" s="11"/>
      <c r="E15" s="6"/>
      <c r="F15" s="9"/>
      <c r="G15" s="9"/>
      <c r="H15" s="9"/>
      <c r="I15" s="9"/>
      <c r="J15" s="9"/>
      <c r="K15" s="9"/>
    </row>
    <row r="16" spans="1:11" x14ac:dyDescent="0.25">
      <c r="A16" s="6"/>
      <c r="B16" s="6"/>
      <c r="C16" s="6"/>
      <c r="D16" s="11"/>
      <c r="E16" s="6"/>
      <c r="F16" s="9"/>
      <c r="G16" s="9"/>
      <c r="H16" s="9"/>
      <c r="I16" s="9"/>
      <c r="J16" s="9"/>
      <c r="K16" s="9"/>
    </row>
    <row r="17" spans="1:11" x14ac:dyDescent="0.25">
      <c r="A17" s="13"/>
      <c r="B17" s="6"/>
      <c r="C17" s="6"/>
      <c r="D17" s="11"/>
      <c r="E17" s="6"/>
      <c r="F17" s="9"/>
      <c r="G17" s="9"/>
      <c r="H17" s="9"/>
      <c r="I17" s="9"/>
      <c r="J17" s="9"/>
      <c r="K17" s="9"/>
    </row>
    <row r="18" spans="1:11" x14ac:dyDescent="0.25">
      <c r="A18" s="12"/>
      <c r="B18" s="6"/>
      <c r="C18" s="6"/>
      <c r="D18" s="11"/>
      <c r="E18" s="6"/>
      <c r="F18" s="9"/>
      <c r="G18" s="9"/>
      <c r="H18" s="9"/>
      <c r="I18" s="9"/>
      <c r="J18" s="9"/>
      <c r="K18" s="9"/>
    </row>
    <row r="19" spans="1:11" x14ac:dyDescent="0.25">
      <c r="A19" s="13"/>
      <c r="B19" s="6"/>
      <c r="C19" s="6"/>
      <c r="D19" s="6"/>
      <c r="E19" s="6"/>
    </row>
    <row r="20" spans="1:11" hidden="1" x14ac:dyDescent="0.25">
      <c r="A20" s="14">
        <v>42904</v>
      </c>
      <c r="B20" s="6"/>
      <c r="C20" s="6"/>
      <c r="D20" s="6"/>
      <c r="E20" s="6"/>
    </row>
    <row r="21" spans="1:11" hidden="1" x14ac:dyDescent="0.25">
      <c r="A21" s="13"/>
      <c r="B21" s="6"/>
      <c r="C21" s="6"/>
      <c r="D21" s="6"/>
      <c r="E21" s="6"/>
    </row>
    <row r="22" spans="1:11" hidden="1" x14ac:dyDescent="0.25">
      <c r="A22" s="13"/>
      <c r="B22" s="6"/>
      <c r="C22" s="6"/>
      <c r="D22" s="6"/>
      <c r="E22" s="6"/>
    </row>
    <row r="23" spans="1:11" hidden="1" x14ac:dyDescent="0.25">
      <c r="A23" s="13"/>
      <c r="B23" s="6"/>
      <c r="C23" s="6"/>
      <c r="D23" s="6"/>
      <c r="E23" s="6"/>
    </row>
    <row r="24" spans="1:11" hidden="1" x14ac:dyDescent="0.25">
      <c r="A24" s="6"/>
      <c r="B24" s="6"/>
      <c r="C24" s="6"/>
      <c r="D24" s="6"/>
      <c r="E24" s="6"/>
    </row>
    <row r="25" spans="1:11" hidden="1" x14ac:dyDescent="0.25">
      <c r="A25" s="6"/>
      <c r="B25" s="6"/>
      <c r="C25" s="6"/>
      <c r="D25" s="6"/>
      <c r="E25" s="6"/>
    </row>
    <row r="26" spans="1:11" hidden="1" x14ac:dyDescent="0.25">
      <c r="A26" s="6"/>
      <c r="B26" s="6"/>
      <c r="C26" s="6"/>
      <c r="D26" s="6"/>
      <c r="E26" s="6"/>
    </row>
    <row r="27" spans="1:11" hidden="1" x14ac:dyDescent="0.25">
      <c r="A27" s="6"/>
      <c r="B27" s="6"/>
      <c r="C27" s="6"/>
      <c r="D27" s="6"/>
      <c r="E27" s="6"/>
    </row>
    <row r="28" spans="1:11" hidden="1" x14ac:dyDescent="0.25">
      <c r="A28" s="6"/>
      <c r="B28" s="6"/>
      <c r="C28" s="6"/>
      <c r="D28" s="6"/>
      <c r="E28" s="6"/>
    </row>
    <row r="29" spans="1:11" ht="15" hidden="1" customHeight="1" x14ac:dyDescent="0.25">
      <c r="A29" s="6"/>
      <c r="B29" s="6"/>
      <c r="C29" s="6"/>
      <c r="D29" s="6"/>
      <c r="E29" s="6"/>
    </row>
    <row r="30" spans="1:11" ht="15" hidden="1" customHeight="1" x14ac:dyDescent="0.25">
      <c r="A30" s="6"/>
      <c r="B30" s="6"/>
      <c r="C30" s="6"/>
      <c r="D30" s="6"/>
      <c r="E30" s="6"/>
    </row>
    <row r="31" spans="1:11" ht="15" hidden="1" customHeight="1" x14ac:dyDescent="0.25">
      <c r="A31" s="6"/>
      <c r="B31" s="6"/>
      <c r="C31" s="6"/>
      <c r="D31" s="6"/>
      <c r="E31" s="6"/>
    </row>
  </sheetData>
  <sheetProtection algorithmName="SHA-512" hashValue="mq5ar6aLjY4dRSZkmC8JDUN3lfKnRyjOdfFKr/VvqIAL3mH3+VnCqnPCv0aSzEyqJPyB9GJgEeA7sa2O3sAI4w==" saltValue="7tWBmsAhqOoSgYDk3jroQw==" spinCount="100000" sheet="1" objects="1" scenarios="1" selectLockedCells="1"/>
  <mergeCells count="1">
    <mergeCell ref="B1:D1"/>
  </mergeCells>
  <dataValidations count="1">
    <dataValidation allowBlank="1" showInputMessage="1" showErrorMessage="1" errorTitle="ungültige Eingabe" error="Es kann nur ein vorgegebener Wert gewählt werden!" sqref="D7" xr:uid="{00000000-0002-0000-0000-000000000000}"/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B1:L31"/>
  <sheetViews>
    <sheetView workbookViewId="0">
      <selection activeCell="H18" sqref="H18"/>
    </sheetView>
  </sheetViews>
  <sheetFormatPr baseColWidth="10" defaultRowHeight="18" customHeight="1" x14ac:dyDescent="0.25"/>
  <cols>
    <col min="1" max="1" width="0.85546875" style="16" customWidth="1"/>
    <col min="2" max="2" width="20.7109375" style="16" customWidth="1"/>
    <col min="3" max="10" width="8.7109375" style="16" customWidth="1"/>
    <col min="11" max="16384" width="11.42578125" style="16"/>
  </cols>
  <sheetData>
    <row r="1" spans="2:12" ht="32.1" customHeight="1" x14ac:dyDescent="0.25">
      <c r="B1" s="32" t="s">
        <v>55</v>
      </c>
    </row>
    <row r="2" spans="2:12" ht="5.0999999999999996" customHeight="1" thickBot="1" x14ac:dyDescent="0.3"/>
    <row r="3" spans="2:12" ht="20.100000000000001" customHeight="1" thickBot="1" x14ac:dyDescent="0.3">
      <c r="B3" s="151" t="s">
        <v>91</v>
      </c>
      <c r="C3" s="152"/>
      <c r="D3" s="152"/>
      <c r="E3" s="152"/>
      <c r="F3" s="152"/>
      <c r="G3" s="152"/>
      <c r="H3" s="153"/>
    </row>
    <row r="4" spans="2:12" ht="18" customHeight="1" x14ac:dyDescent="0.25">
      <c r="B4" s="154" t="s">
        <v>54</v>
      </c>
      <c r="C4" s="156" t="s">
        <v>33</v>
      </c>
      <c r="D4" s="157"/>
      <c r="E4" s="157"/>
      <c r="F4" s="157"/>
      <c r="G4" s="157"/>
      <c r="H4" s="158"/>
    </row>
    <row r="5" spans="2:12" ht="18" customHeight="1" x14ac:dyDescent="0.25">
      <c r="B5" s="154"/>
      <c r="C5" s="159" t="s">
        <v>31</v>
      </c>
      <c r="D5" s="159"/>
      <c r="E5" s="159" t="s">
        <v>57</v>
      </c>
      <c r="F5" s="159"/>
      <c r="G5" s="160" t="s">
        <v>43</v>
      </c>
      <c r="H5" s="161"/>
    </row>
    <row r="6" spans="2:12" ht="20.25" customHeight="1" x14ac:dyDescent="0.25">
      <c r="B6" s="154"/>
      <c r="C6" s="50" t="str">
        <f>"'"&amp;C5&amp;"'!$B$9:$B$100"</f>
        <v>'Dir E Gef'!$B$9:$B$100</v>
      </c>
      <c r="D6" s="50" t="str">
        <f>"'"&amp;C5&amp;"'!$S$9:$S$100"</f>
        <v>'Dir E Gef'!$S$9:$S$100</v>
      </c>
      <c r="E6" s="50" t="str">
        <f>"'"&amp;E5&amp;"'!$B$9:$B$100"</f>
        <v>'Dir E WSP'!$B$9:$B$100</v>
      </c>
      <c r="F6" s="50" t="str">
        <f>"'"&amp;E5&amp;"'!$S$9:$S$100"</f>
        <v>'Dir E WSP'!$S$9:$S$100</v>
      </c>
      <c r="G6" s="50"/>
      <c r="H6" s="30"/>
    </row>
    <row r="7" spans="2:12" ht="18" customHeight="1" thickBot="1" x14ac:dyDescent="0.3">
      <c r="B7" s="155"/>
      <c r="C7" s="33" t="s">
        <v>48</v>
      </c>
      <c r="D7" s="33" t="s">
        <v>44</v>
      </c>
      <c r="E7" s="33" t="s">
        <v>48</v>
      </c>
      <c r="F7" s="33" t="s">
        <v>44</v>
      </c>
      <c r="G7" s="33" t="s">
        <v>48</v>
      </c>
      <c r="H7" s="34" t="s">
        <v>44</v>
      </c>
      <c r="L7" s="16" t="s">
        <v>49</v>
      </c>
    </row>
    <row r="8" spans="2:12" ht="18" customHeight="1" x14ac:dyDescent="0.25">
      <c r="B8" s="40" t="s">
        <v>45</v>
      </c>
      <c r="C8" s="17">
        <f ca="1">IFERROR(COUNTIF(INDIRECT(D$6),$B8),0)</f>
        <v>0</v>
      </c>
      <c r="D8" s="43">
        <f t="shared" ref="D8:D10" ca="1" si="0">IF(C$11&lt;&gt;0,C8/C$11,0)</f>
        <v>0</v>
      </c>
      <c r="E8" s="17">
        <f t="shared" ref="E8:E10" ca="1" si="1">IFERROR(COUNTIF(INDIRECT(F$6),$B8),0)</f>
        <v>0</v>
      </c>
      <c r="F8" s="43">
        <f t="shared" ref="F8:F10" ca="1" si="2">IF(E$11&lt;&gt;0,E8/E$11,0)</f>
        <v>0</v>
      </c>
      <c r="G8" s="17">
        <f t="shared" ref="G8:G10" ca="1" si="3">SUM(+$C8+$E8)</f>
        <v>0</v>
      </c>
      <c r="H8" s="37">
        <f t="shared" ref="H8:H10" ca="1" si="4">IF(G$11&lt;&gt;0,G8/G$11,0)</f>
        <v>0</v>
      </c>
      <c r="L8" s="16" t="s">
        <v>94</v>
      </c>
    </row>
    <row r="9" spans="2:12" ht="18" customHeight="1" x14ac:dyDescent="0.25">
      <c r="B9" s="41" t="s">
        <v>32</v>
      </c>
      <c r="C9" s="18">
        <f t="shared" ref="C9:C10" ca="1" si="5">IFERROR(COUNTIF(INDIRECT(D$6),$B9),0)</f>
        <v>0</v>
      </c>
      <c r="D9" s="44">
        <f t="shared" ca="1" si="0"/>
        <v>0</v>
      </c>
      <c r="E9" s="18">
        <f t="shared" ca="1" si="1"/>
        <v>0</v>
      </c>
      <c r="F9" s="44">
        <f t="shared" ca="1" si="2"/>
        <v>0</v>
      </c>
      <c r="G9" s="18">
        <f t="shared" ca="1" si="3"/>
        <v>0</v>
      </c>
      <c r="H9" s="38">
        <f t="shared" ca="1" si="4"/>
        <v>0</v>
      </c>
    </row>
    <row r="10" spans="2:12" ht="18" customHeight="1" thickBot="1" x14ac:dyDescent="0.3">
      <c r="B10" s="42" t="s">
        <v>53</v>
      </c>
      <c r="C10" s="31">
        <f t="shared" ca="1" si="5"/>
        <v>0</v>
      </c>
      <c r="D10" s="45">
        <f t="shared" ca="1" si="0"/>
        <v>0</v>
      </c>
      <c r="E10" s="31">
        <f t="shared" ca="1" si="1"/>
        <v>0</v>
      </c>
      <c r="F10" s="45">
        <f t="shared" ca="1" si="2"/>
        <v>0</v>
      </c>
      <c r="G10" s="31">
        <f t="shared" ca="1" si="3"/>
        <v>0</v>
      </c>
      <c r="H10" s="39">
        <f t="shared" ca="1" si="4"/>
        <v>0</v>
      </c>
    </row>
    <row r="11" spans="2:12" ht="18" customHeight="1" thickTop="1" thickBot="1" x14ac:dyDescent="0.3">
      <c r="B11" s="35" t="s">
        <v>43</v>
      </c>
      <c r="C11" s="36">
        <f ca="1">SUM(C$7:C10)</f>
        <v>0</v>
      </c>
      <c r="D11" s="46">
        <f ca="1">IF($G11&lt;&gt;0,C11/$G11,0)</f>
        <v>0</v>
      </c>
      <c r="E11" s="36">
        <f ca="1">SUM(E$7:E10)</f>
        <v>0</v>
      </c>
      <c r="F11" s="46">
        <f ca="1">IF($G11&lt;&gt;0,E11/$G11,0)</f>
        <v>0</v>
      </c>
      <c r="G11" s="36">
        <f ca="1">SUM(G$7:G10)</f>
        <v>0</v>
      </c>
      <c r="H11" s="47">
        <f ca="1">IF($G11&lt;&gt;0,G11/$G11,0)</f>
        <v>0</v>
      </c>
    </row>
    <row r="12" spans="2:12" ht="18" customHeight="1" thickBot="1" x14ac:dyDescent="0.3"/>
    <row r="13" spans="2:12" ht="20.100000000000001" customHeight="1" thickBot="1" x14ac:dyDescent="0.3">
      <c r="B13" s="151" t="s">
        <v>92</v>
      </c>
      <c r="C13" s="152"/>
      <c r="D13" s="152"/>
      <c r="E13" s="152"/>
      <c r="F13" s="152"/>
      <c r="G13" s="152"/>
      <c r="H13" s="153"/>
    </row>
    <row r="14" spans="2:12" ht="18" customHeight="1" x14ac:dyDescent="0.25">
      <c r="B14" s="154" t="s">
        <v>54</v>
      </c>
      <c r="C14" s="156" t="s">
        <v>33</v>
      </c>
      <c r="D14" s="157"/>
      <c r="E14" s="157"/>
      <c r="F14" s="157"/>
      <c r="G14" s="157"/>
      <c r="H14" s="158"/>
    </row>
    <row r="15" spans="2:12" ht="18" customHeight="1" x14ac:dyDescent="0.25">
      <c r="B15" s="154"/>
      <c r="C15" s="159" t="s">
        <v>31</v>
      </c>
      <c r="D15" s="159"/>
      <c r="E15" s="159" t="s">
        <v>57</v>
      </c>
      <c r="F15" s="159"/>
      <c r="G15" s="160" t="s">
        <v>43</v>
      </c>
      <c r="H15" s="161"/>
    </row>
    <row r="16" spans="2:12" ht="18" hidden="1" customHeight="1" x14ac:dyDescent="0.25">
      <c r="B16" s="154"/>
      <c r="C16" s="50" t="str">
        <f>"'"&amp;C15&amp;"'!$B$9:$B$100"</f>
        <v>'Dir E Gef'!$B$9:$B$100</v>
      </c>
      <c r="D16" s="50" t="str">
        <f>"'"&amp;C15&amp;"'!$S$9:$S$100"</f>
        <v>'Dir E Gef'!$S$9:$S$100</v>
      </c>
      <c r="E16" s="50" t="str">
        <f>"'"&amp;E15&amp;"'!$B$9:$B$100"</f>
        <v>'Dir E WSP'!$B$9:$B$100</v>
      </c>
      <c r="F16" s="50" t="str">
        <f>"'"&amp;E15&amp;"'!$S$9:$S$100"</f>
        <v>'Dir E WSP'!$S$9:$S$100</v>
      </c>
      <c r="G16" s="50"/>
      <c r="H16" s="30"/>
    </row>
    <row r="17" spans="2:8" ht="18" customHeight="1" thickBot="1" x14ac:dyDescent="0.3">
      <c r="B17" s="155"/>
      <c r="C17" s="33" t="s">
        <v>48</v>
      </c>
      <c r="D17" s="33" t="s">
        <v>44</v>
      </c>
      <c r="E17" s="33" t="s">
        <v>48</v>
      </c>
      <c r="F17" s="33" t="s">
        <v>44</v>
      </c>
      <c r="G17" s="33" t="s">
        <v>48</v>
      </c>
      <c r="H17" s="34" t="s">
        <v>44</v>
      </c>
    </row>
    <row r="18" spans="2:8" ht="18" customHeight="1" x14ac:dyDescent="0.25">
      <c r="B18" s="40" t="s">
        <v>45</v>
      </c>
      <c r="C18" s="17">
        <f t="shared" ref="C18:C20" ca="1" si="6">IFERROR(COUNTIF(INDIRECT(D$6),$B18),0)</f>
        <v>0</v>
      </c>
      <c r="D18" s="43">
        <f t="shared" ref="D18:D20" ca="1" si="7">IF(C$11&lt;&gt;0,C18/C$11,0)</f>
        <v>0</v>
      </c>
      <c r="E18" s="17">
        <f t="shared" ref="E18:E20" ca="1" si="8">IFERROR(COUNTIF(INDIRECT(F$6),$B18),0)</f>
        <v>0</v>
      </c>
      <c r="F18" s="43">
        <f t="shared" ref="F18:F20" ca="1" si="9">IF(E$11&lt;&gt;0,E18/E$11,0)</f>
        <v>0</v>
      </c>
      <c r="G18" s="17">
        <f t="shared" ref="G18:G20" ca="1" si="10">SUM(+$C18+$E18)</f>
        <v>0</v>
      </c>
      <c r="H18" s="37">
        <f t="shared" ref="H18:H20" ca="1" si="11">IF(G$11&lt;&gt;0,G18/G$11,0)</f>
        <v>0</v>
      </c>
    </row>
    <row r="19" spans="2:8" ht="18" customHeight="1" x14ac:dyDescent="0.25">
      <c r="B19" s="41" t="s">
        <v>32</v>
      </c>
      <c r="C19" s="18">
        <f t="shared" ca="1" si="6"/>
        <v>0</v>
      </c>
      <c r="D19" s="44">
        <f t="shared" ca="1" si="7"/>
        <v>0</v>
      </c>
      <c r="E19" s="18">
        <f t="shared" ca="1" si="8"/>
        <v>0</v>
      </c>
      <c r="F19" s="44">
        <f t="shared" ca="1" si="9"/>
        <v>0</v>
      </c>
      <c r="G19" s="18">
        <f t="shared" ca="1" si="10"/>
        <v>0</v>
      </c>
      <c r="H19" s="38">
        <f t="shared" ca="1" si="11"/>
        <v>0</v>
      </c>
    </row>
    <row r="20" spans="2:8" ht="18" customHeight="1" thickBot="1" x14ac:dyDescent="0.3">
      <c r="B20" s="42" t="s">
        <v>53</v>
      </c>
      <c r="C20" s="31">
        <f t="shared" ca="1" si="6"/>
        <v>0</v>
      </c>
      <c r="D20" s="45">
        <f t="shared" ca="1" si="7"/>
        <v>0</v>
      </c>
      <c r="E20" s="31">
        <f t="shared" ca="1" si="8"/>
        <v>0</v>
      </c>
      <c r="F20" s="45">
        <f t="shared" ca="1" si="9"/>
        <v>0</v>
      </c>
      <c r="G20" s="31">
        <f t="shared" ca="1" si="10"/>
        <v>0</v>
      </c>
      <c r="H20" s="39">
        <f t="shared" ca="1" si="11"/>
        <v>0</v>
      </c>
    </row>
    <row r="21" spans="2:8" ht="18" customHeight="1" thickTop="1" thickBot="1" x14ac:dyDescent="0.3">
      <c r="B21" s="35" t="s">
        <v>43</v>
      </c>
      <c r="C21" s="36">
        <f ca="1">SUM(C$7:C20)</f>
        <v>0</v>
      </c>
      <c r="D21" s="46">
        <f ca="1">IF($G21&lt;&gt;0,C21/$G21,0)</f>
        <v>0</v>
      </c>
      <c r="E21" s="36">
        <f ca="1">SUM(E$7:E20)</f>
        <v>0</v>
      </c>
      <c r="F21" s="46">
        <f ca="1">IF($G21&lt;&gt;0,E21/$G21,0)</f>
        <v>0</v>
      </c>
      <c r="G21" s="36">
        <f ca="1">SUM(G$7:G20)</f>
        <v>0</v>
      </c>
      <c r="H21" s="47">
        <f ca="1">IF($G21&lt;&gt;0,G21/$G21,0)</f>
        <v>0</v>
      </c>
    </row>
    <row r="22" spans="2:8" ht="18" customHeight="1" thickBot="1" x14ac:dyDescent="0.3"/>
    <row r="23" spans="2:8" ht="20.100000000000001" customHeight="1" thickBot="1" x14ac:dyDescent="0.3">
      <c r="B23" s="151" t="s">
        <v>93</v>
      </c>
      <c r="C23" s="152"/>
      <c r="D23" s="152"/>
      <c r="E23" s="152"/>
      <c r="F23" s="152"/>
      <c r="G23" s="152"/>
      <c r="H23" s="153"/>
    </row>
    <row r="24" spans="2:8" ht="18" customHeight="1" x14ac:dyDescent="0.25">
      <c r="B24" s="154" t="s">
        <v>54</v>
      </c>
      <c r="C24" s="156" t="s">
        <v>33</v>
      </c>
      <c r="D24" s="157"/>
      <c r="E24" s="157"/>
      <c r="F24" s="157"/>
      <c r="G24" s="157"/>
      <c r="H24" s="158"/>
    </row>
    <row r="25" spans="2:8" ht="18" customHeight="1" x14ac:dyDescent="0.25">
      <c r="B25" s="154"/>
      <c r="C25" s="159" t="s">
        <v>31</v>
      </c>
      <c r="D25" s="159"/>
      <c r="E25" s="159" t="s">
        <v>57</v>
      </c>
      <c r="F25" s="159"/>
      <c r="G25" s="160" t="s">
        <v>43</v>
      </c>
      <c r="H25" s="161"/>
    </row>
    <row r="26" spans="2:8" ht="18" hidden="1" customHeight="1" x14ac:dyDescent="0.25">
      <c r="B26" s="154"/>
      <c r="C26" s="50" t="str">
        <f>"'"&amp;C25&amp;"'!$B$9:$B$100"</f>
        <v>'Dir E Gef'!$B$9:$B$100</v>
      </c>
      <c r="D26" s="50" t="str">
        <f>"'"&amp;C25&amp;"'!$S$9:$S$100"</f>
        <v>'Dir E Gef'!$S$9:$S$100</v>
      </c>
      <c r="E26" s="50" t="str">
        <f>"'"&amp;E25&amp;"'!$B$9:$B$100"</f>
        <v>'Dir E WSP'!$B$9:$B$100</v>
      </c>
      <c r="F26" s="50" t="str">
        <f>"'"&amp;E25&amp;"'!$S$9:$S$100"</f>
        <v>'Dir E WSP'!$S$9:$S$100</v>
      </c>
      <c r="G26" s="50"/>
      <c r="H26" s="30"/>
    </row>
    <row r="27" spans="2:8" ht="18" customHeight="1" thickBot="1" x14ac:dyDescent="0.3">
      <c r="B27" s="155"/>
      <c r="C27" s="33" t="s">
        <v>48</v>
      </c>
      <c r="D27" s="33" t="s">
        <v>44</v>
      </c>
      <c r="E27" s="33" t="s">
        <v>48</v>
      </c>
      <c r="F27" s="33" t="s">
        <v>44</v>
      </c>
      <c r="G27" s="33" t="s">
        <v>48</v>
      </c>
      <c r="H27" s="34" t="s">
        <v>44</v>
      </c>
    </row>
    <row r="28" spans="2:8" ht="18" customHeight="1" x14ac:dyDescent="0.25">
      <c r="B28" s="40" t="s">
        <v>45</v>
      </c>
      <c r="C28" s="17">
        <f t="shared" ref="C28:C30" ca="1" si="12">IFERROR(COUNTIF(INDIRECT(D$6),$B28),0)</f>
        <v>0</v>
      </c>
      <c r="D28" s="43">
        <f t="shared" ref="D28:D30" ca="1" si="13">IF(C$11&lt;&gt;0,C28/C$11,0)</f>
        <v>0</v>
      </c>
      <c r="E28" s="17">
        <f t="shared" ref="E28:E30" ca="1" si="14">IFERROR(COUNTIF(INDIRECT(F$6),$B28),0)</f>
        <v>0</v>
      </c>
      <c r="F28" s="43">
        <f t="shared" ref="F28:F30" ca="1" si="15">IF(E$11&lt;&gt;0,E28/E$11,0)</f>
        <v>0</v>
      </c>
      <c r="G28" s="17">
        <f t="shared" ref="G28:G30" ca="1" si="16">SUM(+$C28+$E28)</f>
        <v>0</v>
      </c>
      <c r="H28" s="37">
        <f t="shared" ref="H28:H30" ca="1" si="17">IF(G$11&lt;&gt;0,G28/G$11,0)</f>
        <v>0</v>
      </c>
    </row>
    <row r="29" spans="2:8" ht="18" customHeight="1" x14ac:dyDescent="0.25">
      <c r="B29" s="41" t="s">
        <v>32</v>
      </c>
      <c r="C29" s="18">
        <f t="shared" ca="1" si="12"/>
        <v>0</v>
      </c>
      <c r="D29" s="44">
        <f t="shared" ca="1" si="13"/>
        <v>0</v>
      </c>
      <c r="E29" s="18">
        <f t="shared" ca="1" si="14"/>
        <v>0</v>
      </c>
      <c r="F29" s="44">
        <f t="shared" ca="1" si="15"/>
        <v>0</v>
      </c>
      <c r="G29" s="18">
        <f t="shared" ca="1" si="16"/>
        <v>0</v>
      </c>
      <c r="H29" s="38">
        <f t="shared" ca="1" si="17"/>
        <v>0</v>
      </c>
    </row>
    <row r="30" spans="2:8" ht="18" customHeight="1" thickBot="1" x14ac:dyDescent="0.3">
      <c r="B30" s="42" t="s">
        <v>53</v>
      </c>
      <c r="C30" s="31">
        <f t="shared" ca="1" si="12"/>
        <v>0</v>
      </c>
      <c r="D30" s="45">
        <f t="shared" ca="1" si="13"/>
        <v>0</v>
      </c>
      <c r="E30" s="31">
        <f t="shared" ca="1" si="14"/>
        <v>0</v>
      </c>
      <c r="F30" s="45">
        <f t="shared" ca="1" si="15"/>
        <v>0</v>
      </c>
      <c r="G30" s="31">
        <f t="shared" ca="1" si="16"/>
        <v>0</v>
      </c>
      <c r="H30" s="39">
        <f t="shared" ca="1" si="17"/>
        <v>0</v>
      </c>
    </row>
    <row r="31" spans="2:8" ht="18" customHeight="1" thickTop="1" thickBot="1" x14ac:dyDescent="0.3">
      <c r="B31" s="35" t="s">
        <v>43</v>
      </c>
      <c r="C31" s="36">
        <f ca="1">SUM(C$7:C30)</f>
        <v>0</v>
      </c>
      <c r="D31" s="46">
        <f ca="1">IF($G31&lt;&gt;0,C31/$G31,0)</f>
        <v>0</v>
      </c>
      <c r="E31" s="36">
        <f ca="1">SUM(E$7:E30)</f>
        <v>0</v>
      </c>
      <c r="F31" s="46">
        <f ca="1">IF($G31&lt;&gt;0,E31/$G31,0)</f>
        <v>0</v>
      </c>
      <c r="G31" s="36">
        <f ca="1">SUM(G$7:G30)</f>
        <v>0</v>
      </c>
      <c r="H31" s="47">
        <f ca="1">IF($G31&lt;&gt;0,G31/$G31,0)</f>
        <v>0</v>
      </c>
    </row>
  </sheetData>
  <mergeCells count="18">
    <mergeCell ref="B23:H23"/>
    <mergeCell ref="B24:B27"/>
    <mergeCell ref="C24:H24"/>
    <mergeCell ref="C25:D25"/>
    <mergeCell ref="E25:F25"/>
    <mergeCell ref="G25:H25"/>
    <mergeCell ref="B13:H13"/>
    <mergeCell ref="B14:B17"/>
    <mergeCell ref="C14:H14"/>
    <mergeCell ref="C15:D15"/>
    <mergeCell ref="E15:F15"/>
    <mergeCell ref="G15:H15"/>
    <mergeCell ref="B3:H3"/>
    <mergeCell ref="B4:B7"/>
    <mergeCell ref="C4:H4"/>
    <mergeCell ref="C5:D5"/>
    <mergeCell ref="E5:F5"/>
    <mergeCell ref="G5:H5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>
    <tabColor rgb="FFFF5050"/>
  </sheetPr>
  <dimension ref="A1:I25"/>
  <sheetViews>
    <sheetView showGridLines="0" workbookViewId="0">
      <selection activeCell="E10" sqref="E10"/>
    </sheetView>
  </sheetViews>
  <sheetFormatPr baseColWidth="10" defaultColWidth="0" defaultRowHeight="15" zeroHeight="1" x14ac:dyDescent="0.25"/>
  <cols>
    <col min="1" max="1" width="0.85546875" customWidth="1"/>
    <col min="2" max="2" width="21.7109375" customWidth="1"/>
    <col min="3" max="3" width="16.28515625" customWidth="1"/>
    <col min="4" max="8" width="11.42578125" customWidth="1"/>
    <col min="9" max="9" width="0.85546875" customWidth="1"/>
    <col min="10" max="16384" width="11.42578125" hidden="1"/>
  </cols>
  <sheetData>
    <row r="1" spans="2:8" ht="38.1" customHeight="1" x14ac:dyDescent="0.25">
      <c r="B1" s="162" t="s">
        <v>89</v>
      </c>
      <c r="C1" s="162"/>
      <c r="D1" s="162"/>
      <c r="E1" s="162"/>
      <c r="F1" s="162"/>
      <c r="G1" s="162"/>
      <c r="H1" s="162"/>
    </row>
    <row r="2" spans="2:8" ht="15" customHeight="1" x14ac:dyDescent="0.25">
      <c r="B2" s="21" t="s">
        <v>46</v>
      </c>
      <c r="C2" s="20"/>
      <c r="D2" s="20"/>
      <c r="E2" s="20"/>
      <c r="F2" s="20"/>
      <c r="G2" s="20"/>
      <c r="H2" s="20"/>
    </row>
    <row r="3" spans="2:8" ht="5.0999999999999996" customHeight="1" thickBot="1" x14ac:dyDescent="0.3">
      <c r="B3" s="20"/>
      <c r="C3" s="20"/>
      <c r="D3" s="20"/>
      <c r="E3" s="20"/>
      <c r="F3" s="20"/>
      <c r="G3" s="20"/>
      <c r="H3" s="20"/>
    </row>
    <row r="4" spans="2:8" ht="18" customHeight="1" x14ac:dyDescent="0.25">
      <c r="B4" s="22" t="s">
        <v>47</v>
      </c>
      <c r="C4" s="23" t="s">
        <v>52</v>
      </c>
      <c r="D4" s="23" t="s">
        <v>49</v>
      </c>
      <c r="E4" s="23" t="s">
        <v>42</v>
      </c>
      <c r="F4" s="23" t="s">
        <v>42</v>
      </c>
      <c r="G4" s="23" t="s">
        <v>42</v>
      </c>
      <c r="H4" s="24" t="s">
        <v>42</v>
      </c>
    </row>
    <row r="5" spans="2:8" x14ac:dyDescent="0.25">
      <c r="B5" s="25" t="s">
        <v>34</v>
      </c>
      <c r="C5" s="19" t="s">
        <v>45</v>
      </c>
      <c r="D5" s="19" t="s">
        <v>24</v>
      </c>
      <c r="E5" s="19"/>
      <c r="F5" s="19"/>
      <c r="G5" s="19"/>
      <c r="H5" s="26"/>
    </row>
    <row r="6" spans="2:8" x14ac:dyDescent="0.25">
      <c r="B6" s="25" t="s">
        <v>35</v>
      </c>
      <c r="C6" s="19" t="s">
        <v>32</v>
      </c>
      <c r="D6" s="19" t="s">
        <v>25</v>
      </c>
      <c r="E6" s="19"/>
      <c r="F6" s="19"/>
      <c r="G6" s="19"/>
      <c r="H6" s="26"/>
    </row>
    <row r="7" spans="2:8" x14ac:dyDescent="0.25">
      <c r="B7" s="25" t="s">
        <v>36</v>
      </c>
      <c r="C7" s="19" t="s">
        <v>53</v>
      </c>
      <c r="D7" s="19" t="s">
        <v>26</v>
      </c>
      <c r="E7" s="19"/>
      <c r="F7" s="19"/>
      <c r="G7" s="19"/>
      <c r="H7" s="26"/>
    </row>
    <row r="8" spans="2:8" x14ac:dyDescent="0.25">
      <c r="B8" s="25" t="s">
        <v>37</v>
      </c>
      <c r="C8" s="19"/>
      <c r="D8" s="19"/>
      <c r="E8" s="19"/>
      <c r="F8" s="19"/>
      <c r="G8" s="19"/>
      <c r="H8" s="26"/>
    </row>
    <row r="9" spans="2:8" x14ac:dyDescent="0.25">
      <c r="B9" s="25" t="s">
        <v>38</v>
      </c>
      <c r="C9" s="19"/>
      <c r="D9" s="19"/>
      <c r="E9" s="19"/>
      <c r="F9" s="19"/>
      <c r="G9" s="19"/>
      <c r="H9" s="26"/>
    </row>
    <row r="10" spans="2:8" x14ac:dyDescent="0.25">
      <c r="B10" s="25" t="s">
        <v>39</v>
      </c>
      <c r="C10" s="19"/>
      <c r="D10" s="19"/>
      <c r="E10" s="19"/>
      <c r="F10" s="19"/>
      <c r="G10" s="19"/>
      <c r="H10" s="26"/>
    </row>
    <row r="11" spans="2:8" x14ac:dyDescent="0.25">
      <c r="B11" s="25" t="s">
        <v>40</v>
      </c>
      <c r="C11" s="19"/>
      <c r="D11" s="19"/>
      <c r="E11" s="19"/>
      <c r="F11" s="19"/>
      <c r="G11" s="19"/>
      <c r="H11" s="26"/>
    </row>
    <row r="12" spans="2:8" x14ac:dyDescent="0.25">
      <c r="B12" s="25" t="s">
        <v>41</v>
      </c>
      <c r="C12" s="19"/>
      <c r="D12" s="19"/>
      <c r="E12" s="19"/>
      <c r="F12" s="19"/>
      <c r="G12" s="19"/>
      <c r="H12" s="26"/>
    </row>
    <row r="13" spans="2:8" x14ac:dyDescent="0.25">
      <c r="B13" s="25"/>
      <c r="C13" s="19"/>
      <c r="D13" s="19"/>
      <c r="E13" s="19"/>
      <c r="F13" s="19"/>
      <c r="G13" s="19"/>
      <c r="H13" s="26"/>
    </row>
    <row r="14" spans="2:8" x14ac:dyDescent="0.25">
      <c r="B14" s="25"/>
      <c r="C14" s="19"/>
      <c r="D14" s="19"/>
      <c r="E14" s="19"/>
      <c r="F14" s="19"/>
      <c r="G14" s="19"/>
      <c r="H14" s="26"/>
    </row>
    <row r="15" spans="2:8" x14ac:dyDescent="0.25">
      <c r="B15" s="25"/>
      <c r="C15" s="19"/>
      <c r="D15" s="19"/>
      <c r="E15" s="19"/>
      <c r="F15" s="19"/>
      <c r="G15" s="19"/>
      <c r="H15" s="26"/>
    </row>
    <row r="16" spans="2:8" x14ac:dyDescent="0.25">
      <c r="B16" s="25"/>
      <c r="C16" s="19"/>
      <c r="D16" s="19"/>
      <c r="E16" s="19"/>
      <c r="F16" s="19"/>
      <c r="G16" s="19"/>
      <c r="H16" s="26"/>
    </row>
    <row r="17" spans="2:8" x14ac:dyDescent="0.25">
      <c r="B17" s="25"/>
      <c r="C17" s="19"/>
      <c r="D17" s="19"/>
      <c r="E17" s="19"/>
      <c r="F17" s="19"/>
      <c r="G17" s="19"/>
      <c r="H17" s="26"/>
    </row>
    <row r="18" spans="2:8" x14ac:dyDescent="0.25">
      <c r="B18" s="25"/>
      <c r="C18" s="19"/>
      <c r="D18" s="19"/>
      <c r="E18" s="19"/>
      <c r="F18" s="19"/>
      <c r="G18" s="19"/>
      <c r="H18" s="26"/>
    </row>
    <row r="19" spans="2:8" x14ac:dyDescent="0.25">
      <c r="B19" s="25"/>
      <c r="C19" s="19"/>
      <c r="D19" s="19"/>
      <c r="E19" s="19"/>
      <c r="F19" s="19"/>
      <c r="G19" s="19"/>
      <c r="H19" s="26"/>
    </row>
    <row r="20" spans="2:8" x14ac:dyDescent="0.25">
      <c r="B20" s="25"/>
      <c r="C20" s="19"/>
      <c r="D20" s="19"/>
      <c r="E20" s="19"/>
      <c r="F20" s="19"/>
      <c r="G20" s="19"/>
      <c r="H20" s="26"/>
    </row>
    <row r="21" spans="2:8" x14ac:dyDescent="0.25">
      <c r="B21" s="25"/>
      <c r="C21" s="19"/>
      <c r="D21" s="19"/>
      <c r="E21" s="19"/>
      <c r="F21" s="19"/>
      <c r="G21" s="19"/>
      <c r="H21" s="26"/>
    </row>
    <row r="22" spans="2:8" x14ac:dyDescent="0.25">
      <c r="B22" s="25"/>
      <c r="C22" s="19"/>
      <c r="D22" s="19"/>
      <c r="E22" s="19"/>
      <c r="F22" s="19"/>
      <c r="G22" s="19"/>
      <c r="H22" s="26"/>
    </row>
    <row r="23" spans="2:8" ht="15.75" thickBot="1" x14ac:dyDescent="0.3">
      <c r="B23" s="27"/>
      <c r="C23" s="28"/>
      <c r="D23" s="28"/>
      <c r="E23" s="28"/>
      <c r="F23" s="28"/>
      <c r="G23" s="28"/>
      <c r="H23" s="29"/>
    </row>
    <row r="24" spans="2:8" ht="5.0999999999999996" customHeight="1" x14ac:dyDescent="0.25"/>
    <row r="25" spans="2:8" x14ac:dyDescent="0.25"/>
  </sheetData>
  <mergeCells count="1">
    <mergeCell ref="B1:H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/>
  <dimension ref="B1:AE46"/>
  <sheetViews>
    <sheetView workbookViewId="0">
      <selection activeCell="I23" sqref="I23"/>
    </sheetView>
  </sheetViews>
  <sheetFormatPr baseColWidth="10" defaultColWidth="10.7109375" defaultRowHeight="18" customHeight="1" x14ac:dyDescent="0.25"/>
  <cols>
    <col min="1" max="1" width="0.85546875" style="116" customWidth="1"/>
    <col min="2" max="2" width="4.7109375" style="116" customWidth="1"/>
    <col min="3" max="3" width="10.7109375" style="116"/>
    <col min="4" max="4" width="18.7109375" style="116" customWidth="1"/>
    <col min="5" max="16384" width="10.7109375" style="116"/>
  </cols>
  <sheetData>
    <row r="1" spans="2:31" ht="32.1" customHeight="1" x14ac:dyDescent="0.25">
      <c r="B1" s="32" t="s">
        <v>95</v>
      </c>
    </row>
    <row r="2" spans="2:31" ht="18" customHeight="1" x14ac:dyDescent="0.25">
      <c r="B2" s="163" t="s">
        <v>97</v>
      </c>
      <c r="C2" s="163"/>
      <c r="D2" s="163"/>
      <c r="E2" s="117"/>
      <c r="G2" s="117"/>
    </row>
    <row r="3" spans="2:31" ht="5.0999999999999996" customHeight="1" x14ac:dyDescent="0.25"/>
    <row r="4" spans="2:31" ht="18" customHeight="1" x14ac:dyDescent="0.25">
      <c r="B4" s="163"/>
      <c r="C4" s="163"/>
      <c r="D4" s="163"/>
      <c r="E4" s="163" t="s">
        <v>98</v>
      </c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 t="s">
        <v>99</v>
      </c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 t="s">
        <v>43</v>
      </c>
      <c r="AD4" s="163"/>
      <c r="AE4" s="163"/>
    </row>
    <row r="5" spans="2:31" ht="18" customHeight="1" x14ac:dyDescent="0.25">
      <c r="B5" s="163"/>
      <c r="C5" s="163"/>
      <c r="D5" s="163"/>
      <c r="E5" s="163" t="s">
        <v>100</v>
      </c>
      <c r="F5" s="163"/>
      <c r="G5" s="163"/>
      <c r="H5" s="163" t="s">
        <v>101</v>
      </c>
      <c r="I5" s="163"/>
      <c r="J5" s="163"/>
      <c r="K5" s="163" t="s">
        <v>102</v>
      </c>
      <c r="L5" s="163"/>
      <c r="M5" s="163"/>
      <c r="N5" s="163" t="s">
        <v>105</v>
      </c>
      <c r="O5" s="163"/>
      <c r="P5" s="163"/>
      <c r="Q5" s="163" t="s">
        <v>31</v>
      </c>
      <c r="R5" s="163"/>
      <c r="S5" s="163"/>
      <c r="T5" s="163" t="s">
        <v>57</v>
      </c>
      <c r="U5" s="163"/>
      <c r="V5" s="163"/>
      <c r="W5" s="163" t="s">
        <v>90</v>
      </c>
      <c r="X5" s="163"/>
      <c r="Y5" s="163"/>
      <c r="Z5" s="163" t="s">
        <v>112</v>
      </c>
      <c r="AA5" s="163"/>
      <c r="AB5" s="163"/>
      <c r="AC5" s="163"/>
      <c r="AD5" s="163"/>
      <c r="AE5" s="163"/>
    </row>
    <row r="6" spans="2:31" ht="18" customHeight="1" x14ac:dyDescent="0.25">
      <c r="B6" s="163"/>
      <c r="C6" s="163"/>
      <c r="D6" s="163"/>
      <c r="Q6" s="116" t="str">
        <f>"'"&amp;Q$5&amp;"'!$G:$G"</f>
        <v>'Dir E Gef'!$G:$G</v>
      </c>
      <c r="T6" s="116" t="str">
        <f>"'"&amp;T$5&amp;"'!$G:$G"</f>
        <v>'Dir E WSP'!$G:$G</v>
      </c>
      <c r="W6" s="116" t="str">
        <f>"'"&amp;W$5&amp;"'!$G:$G"</f>
        <v>'Dir E ZOS'!$G:$G</v>
      </c>
      <c r="Z6" s="116" t="str">
        <f>"'"&amp;Z$5&amp;"'!$G:$G"</f>
        <v>'Dir E - Auswertung L Dir'!$G:$G</v>
      </c>
    </row>
    <row r="7" spans="2:31" ht="18" customHeight="1" x14ac:dyDescent="0.25">
      <c r="B7" s="163"/>
      <c r="C7" s="163"/>
      <c r="D7" s="163"/>
      <c r="Q7" s="116" t="str">
        <f>"'"&amp;Q$5&amp;"'!$S:$S"</f>
        <v>'Dir E Gef'!$S:$S</v>
      </c>
      <c r="R7" s="116" t="str">
        <f>"'"&amp;Q$5&amp;"'!$AC:$AC"</f>
        <v>'Dir E Gef'!$AC:$AC</v>
      </c>
      <c r="S7" s="116" t="str">
        <f>"'"&amp;Q$5&amp;"'!$AM:$AM"</f>
        <v>'Dir E Gef'!$AM:$AM</v>
      </c>
      <c r="T7" s="116" t="str">
        <f>"'"&amp;T$5&amp;"'!$S:$S"</f>
        <v>'Dir E WSP'!$S:$S</v>
      </c>
      <c r="U7" s="116" t="str">
        <f>"'"&amp;T$5&amp;"'!$AC:$AC"</f>
        <v>'Dir E WSP'!$AC:$AC</v>
      </c>
      <c r="V7" s="116" t="str">
        <f>"'"&amp;T$5&amp;"'!$AM:$AM"</f>
        <v>'Dir E WSP'!$AM:$AM</v>
      </c>
      <c r="W7" s="116" t="str">
        <f>"'"&amp;W$5&amp;"'!$S:$S"</f>
        <v>'Dir E ZOS'!$S:$S</v>
      </c>
      <c r="X7" s="116" t="str">
        <f>"'"&amp;W$5&amp;"'!$AC:$AC"</f>
        <v>'Dir E ZOS'!$AC:$AC</v>
      </c>
      <c r="Y7" s="116" t="str">
        <f>"'"&amp;W$5&amp;"'!$AM:$AM"</f>
        <v>'Dir E ZOS'!$AM:$AM</v>
      </c>
      <c r="Z7" s="116" t="str">
        <f>"'"&amp;Z$5&amp;"'!$S:$S"</f>
        <v>'Dir E - Auswertung L Dir'!$S:$S</v>
      </c>
      <c r="AA7" s="116" t="str">
        <f>"'"&amp;Z$5&amp;"'!$AC:$AC"</f>
        <v>'Dir E - Auswertung L Dir'!$AC:$AC</v>
      </c>
      <c r="AB7" s="116" t="str">
        <f>"'"&amp;Z$5&amp;"'!$AM:$AM"</f>
        <v>'Dir E - Auswertung L Dir'!$AM:$AM</v>
      </c>
    </row>
    <row r="8" spans="2:31" ht="18" customHeight="1" x14ac:dyDescent="0.25">
      <c r="B8" s="163"/>
      <c r="C8" s="163"/>
      <c r="D8" s="163"/>
      <c r="Q8" s="116" t="str">
        <f>"'"&amp;Q$5&amp;"'!$K:$K"</f>
        <v>'Dir E Gef'!$K:$K</v>
      </c>
      <c r="R8" s="116" t="str">
        <f>"'"&amp;Q$5&amp;"'!$U:$U"</f>
        <v>'Dir E Gef'!$U:$U</v>
      </c>
      <c r="S8" s="116" t="str">
        <f>"'"&amp;Q$5&amp;"'!$AE:$AE"</f>
        <v>'Dir E Gef'!$AE:$AE</v>
      </c>
      <c r="T8" s="116" t="str">
        <f>"'"&amp;T$5&amp;"'!$K:$K"</f>
        <v>'Dir E WSP'!$K:$K</v>
      </c>
      <c r="U8" s="116" t="str">
        <f>"'"&amp;T$5&amp;"'!$U:$U"</f>
        <v>'Dir E WSP'!$U:$U</v>
      </c>
      <c r="V8" s="116" t="str">
        <f>"'"&amp;T$5&amp;"'!$AE:$AE"</f>
        <v>'Dir E WSP'!$AE:$AE</v>
      </c>
      <c r="W8" s="116" t="str">
        <f>"'"&amp;W$5&amp;"'!$K:$K"</f>
        <v>'Dir E ZOS'!$K:$K</v>
      </c>
      <c r="X8" s="116" t="str">
        <f>"'"&amp;W$5&amp;"'!$U:$U"</f>
        <v>'Dir E ZOS'!$U:$U</v>
      </c>
      <c r="Y8" s="116" t="str">
        <f>"'"&amp;W$5&amp;"'!$AE:$AE"</f>
        <v>'Dir E ZOS'!$AE:$AE</v>
      </c>
      <c r="Z8" s="116" t="str">
        <f>"'"&amp;Z$5&amp;"'!$K:$K"</f>
        <v>'Dir E - Auswertung L Dir'!$K:$K</v>
      </c>
      <c r="AA8" s="116" t="str">
        <f>"'"&amp;Z$5&amp;"'!$U:$U"</f>
        <v>'Dir E - Auswertung L Dir'!$U:$U</v>
      </c>
      <c r="AB8" s="116" t="str">
        <f>"'"&amp;Z$5&amp;"'!$AE:$AE"</f>
        <v>'Dir E - Auswertung L Dir'!$AE:$AE</v>
      </c>
    </row>
    <row r="9" spans="2:31" ht="18" customHeight="1" x14ac:dyDescent="0.25">
      <c r="B9" s="163"/>
      <c r="C9" s="163"/>
      <c r="D9" s="163"/>
    </row>
    <row r="10" spans="2:31" ht="18" customHeight="1" x14ac:dyDescent="0.25">
      <c r="B10" s="163"/>
      <c r="C10" s="163"/>
      <c r="D10" s="163"/>
      <c r="E10" s="116" t="s">
        <v>24</v>
      </c>
      <c r="F10" s="116" t="s">
        <v>25</v>
      </c>
      <c r="G10" s="116" t="s">
        <v>26</v>
      </c>
      <c r="H10" s="116" t="s">
        <v>24</v>
      </c>
      <c r="I10" s="116" t="s">
        <v>25</v>
      </c>
      <c r="J10" s="116" t="s">
        <v>26</v>
      </c>
      <c r="K10" s="116" t="s">
        <v>24</v>
      </c>
      <c r="L10" s="116" t="s">
        <v>25</v>
      </c>
      <c r="M10" s="116" t="s">
        <v>26</v>
      </c>
      <c r="N10" s="116" t="s">
        <v>24</v>
      </c>
      <c r="O10" s="116" t="s">
        <v>25</v>
      </c>
      <c r="P10" s="116" t="s">
        <v>26</v>
      </c>
      <c r="Q10" s="116" t="s">
        <v>24</v>
      </c>
      <c r="R10" s="116" t="s">
        <v>25</v>
      </c>
      <c r="S10" s="116" t="s">
        <v>26</v>
      </c>
      <c r="T10" s="116" t="s">
        <v>24</v>
      </c>
      <c r="U10" s="116" t="s">
        <v>25</v>
      </c>
      <c r="V10" s="116" t="s">
        <v>26</v>
      </c>
      <c r="W10" s="116" t="s">
        <v>24</v>
      </c>
      <c r="X10" s="116" t="s">
        <v>25</v>
      </c>
      <c r="Y10" s="116" t="s">
        <v>26</v>
      </c>
      <c r="Z10" s="116" t="s">
        <v>24</v>
      </c>
      <c r="AA10" s="116" t="s">
        <v>25</v>
      </c>
      <c r="AB10" s="116" t="s">
        <v>26</v>
      </c>
      <c r="AC10" s="116" t="s">
        <v>24</v>
      </c>
      <c r="AD10" s="116" t="s">
        <v>25</v>
      </c>
      <c r="AE10" s="116" t="s">
        <v>26</v>
      </c>
    </row>
    <row r="11" spans="2:31" ht="18" customHeight="1" x14ac:dyDescent="0.25">
      <c r="B11" s="163" t="str">
        <f t="shared" ref="B11" si="0">ROUNDUP(1/3,0)&amp; ". Q."</f>
        <v>1. Q.</v>
      </c>
      <c r="C11" s="163" t="str">
        <f t="shared" ref="C11" si="1">TEXT(DATE(1,1,1),"MMMM")</f>
        <v>Januar</v>
      </c>
      <c r="D11" s="56" t="s">
        <v>45</v>
      </c>
    </row>
    <row r="12" spans="2:31" ht="18" customHeight="1" x14ac:dyDescent="0.25">
      <c r="B12" s="163"/>
      <c r="C12" s="163"/>
      <c r="D12" s="56" t="s">
        <v>32</v>
      </c>
    </row>
    <row r="13" spans="2:31" ht="18" customHeight="1" x14ac:dyDescent="0.25">
      <c r="B13" s="163"/>
      <c r="C13" s="163"/>
      <c r="D13" s="56" t="s">
        <v>53</v>
      </c>
    </row>
    <row r="14" spans="2:31" ht="18" customHeight="1" x14ac:dyDescent="0.25">
      <c r="B14" s="163" t="str">
        <f t="shared" ref="B14" si="2">ROUNDUP(2/3,0)&amp; ". Q."</f>
        <v>1. Q.</v>
      </c>
      <c r="C14" s="163" t="str">
        <f t="shared" ref="C14" si="3">TEXT(DATE(1,2,1),"MMMM")</f>
        <v>Februar</v>
      </c>
      <c r="D14" s="56" t="s">
        <v>45</v>
      </c>
    </row>
    <row r="15" spans="2:31" ht="18" customHeight="1" x14ac:dyDescent="0.25">
      <c r="B15" s="163"/>
      <c r="C15" s="163"/>
      <c r="D15" s="56" t="s">
        <v>32</v>
      </c>
    </row>
    <row r="16" spans="2:31" ht="18" customHeight="1" x14ac:dyDescent="0.25">
      <c r="B16" s="163"/>
      <c r="C16" s="163"/>
      <c r="D16" s="56" t="s">
        <v>53</v>
      </c>
    </row>
    <row r="17" spans="2:4" ht="18" customHeight="1" x14ac:dyDescent="0.25">
      <c r="B17" s="163" t="str">
        <f t="shared" ref="B17" si="4">ROUNDUP(3/3,0)&amp; ". Q."</f>
        <v>1. Q.</v>
      </c>
      <c r="C17" s="163" t="str">
        <f t="shared" ref="C17" si="5">TEXT(DATE(1,3,1),"MMMM")</f>
        <v>März</v>
      </c>
      <c r="D17" s="56" t="s">
        <v>45</v>
      </c>
    </row>
    <row r="18" spans="2:4" ht="18" customHeight="1" x14ac:dyDescent="0.25">
      <c r="B18" s="163"/>
      <c r="C18" s="163"/>
      <c r="D18" s="56" t="s">
        <v>32</v>
      </c>
    </row>
    <row r="19" spans="2:4" ht="18" customHeight="1" x14ac:dyDescent="0.25">
      <c r="B19" s="163"/>
      <c r="C19" s="163"/>
      <c r="D19" s="56" t="s">
        <v>53</v>
      </c>
    </row>
    <row r="20" spans="2:4" ht="18" customHeight="1" x14ac:dyDescent="0.25">
      <c r="B20" s="163" t="str">
        <f t="shared" ref="B20" si="6">ROUNDUP(4/3,0)&amp; ". Q."</f>
        <v>2. Q.</v>
      </c>
      <c r="C20" s="163" t="str">
        <f t="shared" ref="C20" si="7">TEXT(DATE(1,4,1),"MMMM")</f>
        <v>April</v>
      </c>
      <c r="D20" s="56" t="s">
        <v>45</v>
      </c>
    </row>
    <row r="21" spans="2:4" ht="18" customHeight="1" x14ac:dyDescent="0.25">
      <c r="B21" s="163"/>
      <c r="C21" s="163"/>
      <c r="D21" s="56" t="s">
        <v>32</v>
      </c>
    </row>
    <row r="22" spans="2:4" ht="18" customHeight="1" x14ac:dyDescent="0.25">
      <c r="B22" s="163"/>
      <c r="C22" s="163"/>
      <c r="D22" s="56" t="s">
        <v>53</v>
      </c>
    </row>
    <row r="23" spans="2:4" ht="18" customHeight="1" x14ac:dyDescent="0.25">
      <c r="B23" s="163" t="str">
        <f t="shared" ref="B23" si="8">ROUNDUP(5/3,0)&amp; ". Q."</f>
        <v>2. Q.</v>
      </c>
      <c r="C23" s="163" t="str">
        <f t="shared" ref="C23" si="9">TEXT(DATE(1,5,1),"MMMM")</f>
        <v>Mai</v>
      </c>
      <c r="D23" s="56" t="s">
        <v>45</v>
      </c>
    </row>
    <row r="24" spans="2:4" ht="18" customHeight="1" x14ac:dyDescent="0.25">
      <c r="B24" s="163"/>
      <c r="C24" s="163"/>
      <c r="D24" s="56" t="s">
        <v>32</v>
      </c>
    </row>
    <row r="25" spans="2:4" ht="18" customHeight="1" x14ac:dyDescent="0.25">
      <c r="B25" s="163"/>
      <c r="C25" s="163"/>
      <c r="D25" s="56" t="s">
        <v>53</v>
      </c>
    </row>
    <row r="26" spans="2:4" ht="18" customHeight="1" x14ac:dyDescent="0.25">
      <c r="B26" s="163" t="str">
        <f t="shared" ref="B26" si="10">ROUNDUP(6/3,0)&amp; ". Q."</f>
        <v>2. Q.</v>
      </c>
      <c r="C26" s="163" t="str">
        <f t="shared" ref="C26" si="11">TEXT(DATE(1,6,1),"MMMM")</f>
        <v>Juni</v>
      </c>
      <c r="D26" s="56" t="s">
        <v>45</v>
      </c>
    </row>
    <row r="27" spans="2:4" ht="18" customHeight="1" x14ac:dyDescent="0.25">
      <c r="B27" s="163"/>
      <c r="C27" s="163"/>
      <c r="D27" s="56" t="s">
        <v>32</v>
      </c>
    </row>
    <row r="28" spans="2:4" ht="18" customHeight="1" x14ac:dyDescent="0.25">
      <c r="B28" s="163"/>
      <c r="C28" s="163"/>
      <c r="D28" s="56" t="s">
        <v>53</v>
      </c>
    </row>
    <row r="29" spans="2:4" ht="18" customHeight="1" x14ac:dyDescent="0.25">
      <c r="B29" s="163" t="str">
        <f t="shared" ref="B29" si="12">ROUNDUP(7/3,0)&amp; ". Q."</f>
        <v>3. Q.</v>
      </c>
      <c r="C29" s="163" t="str">
        <f t="shared" ref="C29" si="13">TEXT(DATE(1,7,1),"MMMM")</f>
        <v>Juli</v>
      </c>
      <c r="D29" s="56" t="s">
        <v>45</v>
      </c>
    </row>
    <row r="30" spans="2:4" ht="18" customHeight="1" x14ac:dyDescent="0.25">
      <c r="B30" s="163"/>
      <c r="C30" s="163"/>
      <c r="D30" s="56" t="s">
        <v>32</v>
      </c>
    </row>
    <row r="31" spans="2:4" ht="18" customHeight="1" x14ac:dyDescent="0.25">
      <c r="B31" s="163"/>
      <c r="C31" s="163"/>
      <c r="D31" s="56" t="s">
        <v>53</v>
      </c>
    </row>
    <row r="32" spans="2:4" ht="18" customHeight="1" x14ac:dyDescent="0.25">
      <c r="B32" s="163" t="str">
        <f t="shared" ref="B32" si="14">ROUNDUP(8/3,0)&amp; ". Q."</f>
        <v>3. Q.</v>
      </c>
      <c r="C32" s="163" t="str">
        <f t="shared" ref="C32" si="15">TEXT(DATE(1,8,1),"MMMM")</f>
        <v>August</v>
      </c>
      <c r="D32" s="56" t="s">
        <v>45</v>
      </c>
    </row>
    <row r="33" spans="2:4" ht="18" customHeight="1" x14ac:dyDescent="0.25">
      <c r="B33" s="163"/>
      <c r="C33" s="163"/>
      <c r="D33" s="56" t="s">
        <v>32</v>
      </c>
    </row>
    <row r="34" spans="2:4" ht="18" customHeight="1" x14ac:dyDescent="0.25">
      <c r="B34" s="163"/>
      <c r="C34" s="163"/>
      <c r="D34" s="56" t="s">
        <v>53</v>
      </c>
    </row>
    <row r="35" spans="2:4" ht="18" customHeight="1" x14ac:dyDescent="0.25">
      <c r="B35" s="163" t="str">
        <f t="shared" ref="B35" si="16">ROUNDUP(9/3,0)&amp; ". Q."</f>
        <v>3. Q.</v>
      </c>
      <c r="C35" s="163" t="str">
        <f t="shared" ref="C35" si="17">TEXT(DATE(1,9,1),"MMMM")</f>
        <v>September</v>
      </c>
      <c r="D35" s="56" t="s">
        <v>45</v>
      </c>
    </row>
    <row r="36" spans="2:4" ht="18" customHeight="1" x14ac:dyDescent="0.25">
      <c r="B36" s="163"/>
      <c r="C36" s="163"/>
      <c r="D36" s="56" t="s">
        <v>32</v>
      </c>
    </row>
    <row r="37" spans="2:4" ht="18" customHeight="1" x14ac:dyDescent="0.25">
      <c r="B37" s="163"/>
      <c r="C37" s="163"/>
      <c r="D37" s="56" t="s">
        <v>53</v>
      </c>
    </row>
    <row r="38" spans="2:4" ht="18" customHeight="1" x14ac:dyDescent="0.25">
      <c r="B38" s="163" t="str">
        <f t="shared" ref="B38" si="18">ROUNDUP(10/3,0)&amp; ". Q."</f>
        <v>4. Q.</v>
      </c>
      <c r="C38" s="163" t="str">
        <f t="shared" ref="C38" si="19">TEXT(DATE(1,10,1),"MMMM")</f>
        <v>Oktober</v>
      </c>
      <c r="D38" s="56" t="s">
        <v>45</v>
      </c>
    </row>
    <row r="39" spans="2:4" ht="18" customHeight="1" x14ac:dyDescent="0.25">
      <c r="B39" s="163"/>
      <c r="C39" s="163"/>
      <c r="D39" s="56" t="s">
        <v>32</v>
      </c>
    </row>
    <row r="40" spans="2:4" ht="18" customHeight="1" x14ac:dyDescent="0.25">
      <c r="B40" s="163"/>
      <c r="C40" s="163"/>
      <c r="D40" s="56" t="s">
        <v>53</v>
      </c>
    </row>
    <row r="41" spans="2:4" ht="18" customHeight="1" x14ac:dyDescent="0.25">
      <c r="B41" s="163" t="str">
        <f t="shared" ref="B41" si="20">ROUNDUP(11/3,0)&amp; ". Q."</f>
        <v>4. Q.</v>
      </c>
      <c r="C41" s="163" t="str">
        <f t="shared" ref="C41" si="21">TEXT(DATE(1,11,1),"MMMM")</f>
        <v>November</v>
      </c>
      <c r="D41" s="56" t="s">
        <v>45</v>
      </c>
    </row>
    <row r="42" spans="2:4" ht="18" customHeight="1" x14ac:dyDescent="0.25">
      <c r="B42" s="163"/>
      <c r="C42" s="163"/>
      <c r="D42" s="56" t="s">
        <v>32</v>
      </c>
    </row>
    <row r="43" spans="2:4" ht="18" customHeight="1" x14ac:dyDescent="0.25">
      <c r="B43" s="163"/>
      <c r="C43" s="163"/>
      <c r="D43" s="56" t="s">
        <v>53</v>
      </c>
    </row>
    <row r="44" spans="2:4" ht="18" customHeight="1" x14ac:dyDescent="0.25">
      <c r="B44" s="163" t="str">
        <f t="shared" ref="B44" si="22">ROUNDUP(12/3,0)&amp; ". Q."</f>
        <v>4. Q.</v>
      </c>
      <c r="C44" s="163" t="str">
        <f t="shared" ref="C44" si="23">TEXT(DATE(1,12,1),"MMMM")</f>
        <v>Dezember</v>
      </c>
      <c r="D44" s="56" t="s">
        <v>45</v>
      </c>
    </row>
    <row r="45" spans="2:4" ht="18" customHeight="1" x14ac:dyDescent="0.25">
      <c r="B45" s="163"/>
      <c r="C45" s="163"/>
      <c r="D45" s="56" t="s">
        <v>32</v>
      </c>
    </row>
    <row r="46" spans="2:4" ht="18" customHeight="1" x14ac:dyDescent="0.25">
      <c r="B46" s="163"/>
      <c r="C46" s="163"/>
      <c r="D46" s="56" t="s">
        <v>53</v>
      </c>
    </row>
  </sheetData>
  <sheetProtection selectLockedCells="1"/>
  <mergeCells count="37">
    <mergeCell ref="AC4:AE5"/>
    <mergeCell ref="B44:B46"/>
    <mergeCell ref="C44:C46"/>
    <mergeCell ref="B14:B16"/>
    <mergeCell ref="C14:C16"/>
    <mergeCell ref="T5:V5"/>
    <mergeCell ref="B38:B40"/>
    <mergeCell ref="C38:C40"/>
    <mergeCell ref="B41:B43"/>
    <mergeCell ref="C41:C43"/>
    <mergeCell ref="B26:B28"/>
    <mergeCell ref="C26:C28"/>
    <mergeCell ref="B29:B31"/>
    <mergeCell ref="C29:C31"/>
    <mergeCell ref="H5:J5"/>
    <mergeCell ref="K5:M5"/>
    <mergeCell ref="B2:D2"/>
    <mergeCell ref="E4:P4"/>
    <mergeCell ref="B32:B34"/>
    <mergeCell ref="C32:C34"/>
    <mergeCell ref="B35:B37"/>
    <mergeCell ref="C35:C37"/>
    <mergeCell ref="B17:B19"/>
    <mergeCell ref="C17:C19"/>
    <mergeCell ref="B20:B22"/>
    <mergeCell ref="C20:C22"/>
    <mergeCell ref="B23:B25"/>
    <mergeCell ref="C23:C25"/>
    <mergeCell ref="B4:D10"/>
    <mergeCell ref="B11:B13"/>
    <mergeCell ref="C11:C13"/>
    <mergeCell ref="E5:G5"/>
    <mergeCell ref="N5:P5"/>
    <mergeCell ref="Q5:S5"/>
    <mergeCell ref="W5:Y5"/>
    <mergeCell ref="Z5:AB5"/>
    <mergeCell ref="Q4:AB4"/>
  </mergeCell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5">
    <pageSetUpPr fitToPage="1"/>
  </sheetPr>
  <dimension ref="A1:K12"/>
  <sheetViews>
    <sheetView showGridLines="0" zoomScaleNormal="100" workbookViewId="0">
      <selection activeCell="C11" sqref="C11"/>
    </sheetView>
  </sheetViews>
  <sheetFormatPr baseColWidth="10" defaultColWidth="0" defaultRowHeight="18" customHeight="1" zeroHeight="1" x14ac:dyDescent="0.25"/>
  <cols>
    <col min="1" max="1" width="0.85546875" style="58" customWidth="1"/>
    <col min="2" max="2" width="20.7109375" style="58" customWidth="1"/>
    <col min="3" max="10" width="8.7109375" style="58" customWidth="1"/>
    <col min="11" max="11" width="0.85546875" style="58" customWidth="1"/>
    <col min="12" max="16384" width="10.7109375" style="58" hidden="1"/>
  </cols>
  <sheetData>
    <row r="1" spans="2:10" ht="32.1" customHeight="1" x14ac:dyDescent="0.25">
      <c r="B1" s="32" t="s">
        <v>50</v>
      </c>
    </row>
    <row r="2" spans="2:10" ht="5.0999999999999996" customHeight="1" thickBot="1" x14ac:dyDescent="0.3"/>
    <row r="3" spans="2:10" ht="18" customHeight="1" x14ac:dyDescent="0.25">
      <c r="B3" s="167" t="s">
        <v>49</v>
      </c>
      <c r="C3" s="164" t="s">
        <v>33</v>
      </c>
      <c r="D3" s="165"/>
      <c r="E3" s="165"/>
      <c r="F3" s="165"/>
      <c r="G3" s="165"/>
      <c r="H3" s="165"/>
      <c r="I3" s="165"/>
      <c r="J3" s="158"/>
    </row>
    <row r="4" spans="2:10" ht="18" customHeight="1" x14ac:dyDescent="0.25">
      <c r="B4" s="168"/>
      <c r="C4" s="159" t="s">
        <v>31</v>
      </c>
      <c r="D4" s="159"/>
      <c r="E4" s="159" t="s">
        <v>57</v>
      </c>
      <c r="F4" s="159"/>
      <c r="G4" s="159" t="s">
        <v>90</v>
      </c>
      <c r="H4" s="159"/>
      <c r="I4" s="166" t="s">
        <v>43</v>
      </c>
      <c r="J4" s="161"/>
    </row>
    <row r="5" spans="2:10" ht="18" hidden="1" customHeight="1" x14ac:dyDescent="0.25">
      <c r="B5" s="168"/>
      <c r="C5" s="159" t="str">
        <f t="shared" ref="C5" si="0">"'"&amp;C4&amp;"'!$G$9:$G$100"</f>
        <v>'Dir E Gef'!$G$9:$G$100</v>
      </c>
      <c r="D5" s="159"/>
      <c r="E5" s="159" t="str">
        <f t="shared" ref="E5" si="1">"'"&amp;E4&amp;"'!$G$9:$G$100"</f>
        <v>'Dir E WSP'!$G$9:$G$100</v>
      </c>
      <c r="F5" s="159"/>
      <c r="G5" s="159" t="str">
        <f t="shared" ref="G5" si="2">"'"&amp;G4&amp;"'!$G$9:$G$100"</f>
        <v>'Dir E ZOS'!$G$9:$G$100</v>
      </c>
      <c r="H5" s="159"/>
      <c r="I5" s="57"/>
      <c r="J5" s="82"/>
    </row>
    <row r="6" spans="2:10" ht="18" customHeight="1" thickBot="1" x14ac:dyDescent="0.3">
      <c r="B6" s="169"/>
      <c r="C6" s="83" t="s">
        <v>48</v>
      </c>
      <c r="D6" s="83" t="s">
        <v>44</v>
      </c>
      <c r="E6" s="83" t="s">
        <v>48</v>
      </c>
      <c r="F6" s="83" t="s">
        <v>44</v>
      </c>
      <c r="G6" s="83" t="s">
        <v>48</v>
      </c>
      <c r="H6" s="83" t="s">
        <v>44</v>
      </c>
      <c r="I6" s="83" t="s">
        <v>48</v>
      </c>
      <c r="J6" s="84" t="s">
        <v>44</v>
      </c>
    </row>
    <row r="7" spans="2:10" ht="18" customHeight="1" x14ac:dyDescent="0.25">
      <c r="B7" s="85" t="s">
        <v>24</v>
      </c>
      <c r="C7" s="80">
        <f t="shared" ref="C7:C9" ca="1" si="3">IFERROR(COUNTIF(INDIRECT(C$5),$B7),0)</f>
        <v>0</v>
      </c>
      <c r="D7" s="87">
        <f t="shared" ref="D7:D9" ca="1" si="4">IF(C$10&lt;&gt;0,C7/C$10,0)</f>
        <v>0</v>
      </c>
      <c r="E7" s="80">
        <f t="shared" ref="E7:E9" ca="1" si="5">IFERROR(COUNTIF(INDIRECT(E$5),$B7),0)</f>
        <v>0</v>
      </c>
      <c r="F7" s="87">
        <f t="shared" ref="F7:F9" ca="1" si="6">IF(E$10&lt;&gt;0,E7/E$10,0)</f>
        <v>0</v>
      </c>
      <c r="G7" s="80">
        <f t="shared" ref="G7:G9" ca="1" si="7">IFERROR(COUNTIF(INDIRECT(G$5),$B7),0)</f>
        <v>1</v>
      </c>
      <c r="H7" s="87">
        <f t="shared" ref="H7:H9" ca="1" si="8">IF(G$10&lt;&gt;0,G7/G$10,0)</f>
        <v>0.33333333333333331</v>
      </c>
      <c r="I7" s="80">
        <f t="shared" ref="I7:I9" ca="1" si="9">SUM(+$C7+$E7+$G7)</f>
        <v>1</v>
      </c>
      <c r="J7" s="89">
        <f t="shared" ref="J7:J9" ca="1" si="10">IF(I$10&lt;&gt;0,I7/I$10,0)</f>
        <v>0.1</v>
      </c>
    </row>
    <row r="8" spans="2:10" ht="18" customHeight="1" x14ac:dyDescent="0.25">
      <c r="B8" s="86" t="s">
        <v>25</v>
      </c>
      <c r="C8" s="81">
        <f t="shared" ca="1" si="3"/>
        <v>0</v>
      </c>
      <c r="D8" s="88">
        <f t="shared" ca="1" si="4"/>
        <v>0</v>
      </c>
      <c r="E8" s="81">
        <f t="shared" ca="1" si="5"/>
        <v>0</v>
      </c>
      <c r="F8" s="88">
        <f t="shared" ca="1" si="6"/>
        <v>0</v>
      </c>
      <c r="G8" s="81">
        <f t="shared" ca="1" si="7"/>
        <v>0</v>
      </c>
      <c r="H8" s="88">
        <f t="shared" ca="1" si="8"/>
        <v>0</v>
      </c>
      <c r="I8" s="81">
        <f t="shared" ca="1" si="9"/>
        <v>0</v>
      </c>
      <c r="J8" s="90">
        <f t="shared" ca="1" si="10"/>
        <v>0</v>
      </c>
    </row>
    <row r="9" spans="2:10" ht="18" customHeight="1" thickBot="1" x14ac:dyDescent="0.3">
      <c r="B9" s="42" t="s">
        <v>26</v>
      </c>
      <c r="C9" s="31">
        <f t="shared" ca="1" si="3"/>
        <v>3</v>
      </c>
      <c r="D9" s="45">
        <f t="shared" ca="1" si="4"/>
        <v>1</v>
      </c>
      <c r="E9" s="31">
        <f t="shared" ca="1" si="5"/>
        <v>4</v>
      </c>
      <c r="F9" s="45">
        <f t="shared" ca="1" si="6"/>
        <v>1</v>
      </c>
      <c r="G9" s="31">
        <f t="shared" ca="1" si="7"/>
        <v>2</v>
      </c>
      <c r="H9" s="45">
        <f t="shared" ca="1" si="8"/>
        <v>0.66666666666666663</v>
      </c>
      <c r="I9" s="31">
        <f t="shared" ca="1" si="9"/>
        <v>9</v>
      </c>
      <c r="J9" s="39">
        <f t="shared" ca="1" si="10"/>
        <v>0.9</v>
      </c>
    </row>
    <row r="10" spans="2:10" ht="18" customHeight="1" thickTop="1" thickBot="1" x14ac:dyDescent="0.3">
      <c r="B10" s="35" t="s">
        <v>43</v>
      </c>
      <c r="C10" s="36">
        <f ca="1">SUM(C$7:C9)</f>
        <v>3</v>
      </c>
      <c r="D10" s="46">
        <f ca="1">IF($I10&lt;&gt;0,C10/$I10,0)</f>
        <v>0.3</v>
      </c>
      <c r="E10" s="36">
        <f ca="1">SUM(E$7:E9)</f>
        <v>4</v>
      </c>
      <c r="F10" s="46">
        <f ca="1">IF($I10&lt;&gt;0,E10/$I10,0)</f>
        <v>0.4</v>
      </c>
      <c r="G10" s="36">
        <f ca="1">SUM(G$7:G9)</f>
        <v>3</v>
      </c>
      <c r="H10" s="46">
        <f ca="1">IF($I10&lt;&gt;0,G10/$I10,0)</f>
        <v>0.3</v>
      </c>
      <c r="I10" s="36">
        <f ca="1">SUM(I$7:I9)</f>
        <v>10</v>
      </c>
      <c r="J10" s="47">
        <f ca="1">IF($I10&lt;&gt;0,I10/$I10,0)</f>
        <v>1</v>
      </c>
    </row>
    <row r="11" spans="2:10" ht="5.0999999999999996" customHeight="1" x14ac:dyDescent="0.25"/>
    <row r="12" spans="2:10" ht="18" hidden="1" customHeight="1" x14ac:dyDescent="0.25"/>
  </sheetData>
  <sheetProtection algorithmName="SHA-512" hashValue="WGXZW9A7NAYGZ4kqOoCeAsm31xsg3+QBVgFfj+XSMPLy5IaKbisMH+EUyXbkO4OPlotTSmNTgUK3eeEyrwi/7g==" saltValue="/fC0bcJ2EJq11bsV9t75CA==" spinCount="100000" sheet="1" objects="1" scenarios="1" selectLockedCells="1"/>
  <mergeCells count="9">
    <mergeCell ref="G4:H4"/>
    <mergeCell ref="G5:H5"/>
    <mergeCell ref="C3:J3"/>
    <mergeCell ref="I4:J4"/>
    <mergeCell ref="B3:B6"/>
    <mergeCell ref="C4:D4"/>
    <mergeCell ref="C5:D5"/>
    <mergeCell ref="E4:F4"/>
    <mergeCell ref="E5:F5"/>
  </mergeCells>
  <pageMargins left="0.70866141732283505" right="0.70866141732283505" top="0.74803149606299202" bottom="0.78740157499999996" header="0.3" footer="0.3"/>
  <pageSetup paperSize="9" scale="95" fitToHeight="0" pageOrder="overThenDown" orientation="portrait" r:id="rId1"/>
  <headerFooter>
    <oddHeader>&amp;LDir E ET&amp;R&amp;D</oddHeader>
  </headerFooter>
  <rowBreaks count="1" manualBreakCount="1">
    <brk id="11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5">
    <pageSetUpPr fitToPage="1"/>
  </sheetPr>
  <dimension ref="A1:M32"/>
  <sheetViews>
    <sheetView showGridLines="0" zoomScaleNormal="100" workbookViewId="0">
      <selection activeCell="J20" sqref="J20"/>
    </sheetView>
  </sheetViews>
  <sheetFormatPr baseColWidth="10" defaultColWidth="0" defaultRowHeight="18" customHeight="1" zeroHeight="1" x14ac:dyDescent="0.25"/>
  <cols>
    <col min="1" max="1" width="0.85546875" style="58" customWidth="1"/>
    <col min="2" max="2" width="20.7109375" style="58" customWidth="1"/>
    <col min="3" max="12" width="8.7109375" style="58" customWidth="1"/>
    <col min="13" max="13" width="0.85546875" style="58" customWidth="1"/>
    <col min="14" max="16384" width="10.7109375" style="58" hidden="1"/>
  </cols>
  <sheetData>
    <row r="1" spans="2:12" ht="32.1" customHeight="1" x14ac:dyDescent="0.25">
      <c r="B1" s="32" t="s">
        <v>55</v>
      </c>
    </row>
    <row r="2" spans="2:12" ht="5.0999999999999996" customHeight="1" thickBot="1" x14ac:dyDescent="0.3"/>
    <row r="3" spans="2:12" ht="20.100000000000001" customHeight="1" thickBot="1" x14ac:dyDescent="0.3">
      <c r="B3" s="151" t="s">
        <v>28</v>
      </c>
      <c r="C3" s="152"/>
      <c r="D3" s="152"/>
      <c r="E3" s="152"/>
      <c r="F3" s="152"/>
      <c r="G3" s="152"/>
      <c r="H3" s="152"/>
      <c r="I3" s="152"/>
      <c r="J3" s="152"/>
      <c r="K3" s="152"/>
      <c r="L3" s="153"/>
    </row>
    <row r="4" spans="2:12" ht="18" customHeight="1" x14ac:dyDescent="0.25">
      <c r="B4" s="168" t="s">
        <v>54</v>
      </c>
      <c r="C4" s="164" t="s">
        <v>33</v>
      </c>
      <c r="D4" s="165"/>
      <c r="E4" s="165"/>
      <c r="F4" s="165"/>
      <c r="G4" s="165"/>
      <c r="H4" s="165"/>
      <c r="I4" s="165"/>
      <c r="J4" s="165"/>
      <c r="K4" s="165"/>
      <c r="L4" s="158"/>
    </row>
    <row r="5" spans="2:12" ht="18" customHeight="1" x14ac:dyDescent="0.25">
      <c r="B5" s="168"/>
      <c r="C5" s="159" t="s">
        <v>31</v>
      </c>
      <c r="D5" s="159"/>
      <c r="E5" s="159" t="s">
        <v>57</v>
      </c>
      <c r="F5" s="159"/>
      <c r="G5" s="159" t="s">
        <v>90</v>
      </c>
      <c r="H5" s="159"/>
      <c r="I5" s="159" t="s">
        <v>112</v>
      </c>
      <c r="J5" s="159"/>
      <c r="K5" s="166" t="s">
        <v>43</v>
      </c>
      <c r="L5" s="161"/>
    </row>
    <row r="6" spans="2:12" ht="18" hidden="1" customHeight="1" x14ac:dyDescent="0.25">
      <c r="B6" s="168"/>
      <c r="C6" s="57"/>
      <c r="D6" s="57" t="str">
        <f>"'"&amp;C5&amp;"'!$T$9:$T$100"</f>
        <v>'Dir E Gef'!$T$9:$T$100</v>
      </c>
      <c r="E6" s="57"/>
      <c r="F6" s="57" t="str">
        <f>"'"&amp;E5&amp;"'!$T$9:$T$100"</f>
        <v>'Dir E WSP'!$T$9:$T$100</v>
      </c>
      <c r="G6" s="57"/>
      <c r="H6" s="57" t="str">
        <f>"'"&amp;G5&amp;"'!$T$9:$T$100"</f>
        <v>'Dir E ZOS'!$T$9:$T$100</v>
      </c>
      <c r="I6" s="57"/>
      <c r="J6" s="57" t="str">
        <f>"'"&amp;I5&amp;"'!$T$9:$T$100"</f>
        <v>'Dir E - Auswertung L Dir'!$T$9:$T$100</v>
      </c>
      <c r="K6" s="57"/>
      <c r="L6" s="82" t="str">
        <f>"'"&amp;K5&amp;"'!$T$9:$T$100"</f>
        <v>'Gesamt'!$T$9:$T$100</v>
      </c>
    </row>
    <row r="7" spans="2:12" ht="18" customHeight="1" thickBot="1" x14ac:dyDescent="0.3">
      <c r="B7" s="169"/>
      <c r="C7" s="83" t="s">
        <v>48</v>
      </c>
      <c r="D7" s="83" t="s">
        <v>44</v>
      </c>
      <c r="E7" s="83" t="s">
        <v>48</v>
      </c>
      <c r="F7" s="83" t="s">
        <v>44</v>
      </c>
      <c r="G7" s="83" t="s">
        <v>48</v>
      </c>
      <c r="H7" s="83" t="s">
        <v>44</v>
      </c>
      <c r="I7" s="83" t="s">
        <v>48</v>
      </c>
      <c r="J7" s="83" t="s">
        <v>44</v>
      </c>
      <c r="K7" s="83" t="s">
        <v>48</v>
      </c>
      <c r="L7" s="84" t="s">
        <v>44</v>
      </c>
    </row>
    <row r="8" spans="2:12" ht="18" customHeight="1" x14ac:dyDescent="0.25">
      <c r="B8" s="85" t="s">
        <v>45</v>
      </c>
      <c r="C8" s="80">
        <f t="shared" ref="C8:C10" ca="1" si="0">IFERROR(COUNTIF(INDIRECT(D$6),$B8),0)</f>
        <v>1</v>
      </c>
      <c r="D8" s="87">
        <f t="shared" ref="D8:D10" ca="1" si="1">IF(C$11&lt;&gt;0,C8/C$11,0)</f>
        <v>0.5</v>
      </c>
      <c r="E8" s="80">
        <f t="shared" ref="E8:E10" ca="1" si="2">IFERROR(COUNTIF(INDIRECT(F$6),$B8),0)</f>
        <v>1</v>
      </c>
      <c r="F8" s="87">
        <f t="shared" ref="F8:F10" ca="1" si="3">IF(E$11&lt;&gt;0,E8/E$11,0)</f>
        <v>1</v>
      </c>
      <c r="G8" s="80">
        <f t="shared" ref="G8:G10" ca="1" si="4">IFERROR(COUNTIF(INDIRECT(H$6),$B8),0)</f>
        <v>0</v>
      </c>
      <c r="H8" s="87">
        <f t="shared" ref="H8:H10" ca="1" si="5">IF(G$11&lt;&gt;0,G8/G$11,0)</f>
        <v>0</v>
      </c>
      <c r="I8" s="80">
        <f t="shared" ref="I8:I10" ca="1" si="6">IFERROR(COUNTIF(INDIRECT(J$6),$B8),0)</f>
        <v>0</v>
      </c>
      <c r="J8" s="87">
        <f t="shared" ref="J8:J10" ca="1" si="7">IF(I$11&lt;&gt;0,I8/I$11,0)</f>
        <v>0</v>
      </c>
      <c r="K8" s="80">
        <f t="shared" ref="K8:K10" ca="1" si="8">SUM(+$C8+$E8+$G8+$I8)</f>
        <v>2</v>
      </c>
      <c r="L8" s="89">
        <f t="shared" ref="L8:L10" ca="1" si="9">IF(K$11&lt;&gt;0,K8/K$11,0)</f>
        <v>0.66666666666666663</v>
      </c>
    </row>
    <row r="9" spans="2:12" ht="18" customHeight="1" x14ac:dyDescent="0.25">
      <c r="B9" s="86" t="s">
        <v>32</v>
      </c>
      <c r="C9" s="81">
        <f t="shared" ca="1" si="0"/>
        <v>1</v>
      </c>
      <c r="D9" s="88">
        <f t="shared" ca="1" si="1"/>
        <v>0.5</v>
      </c>
      <c r="E9" s="81">
        <f t="shared" ca="1" si="2"/>
        <v>0</v>
      </c>
      <c r="F9" s="88">
        <f t="shared" ca="1" si="3"/>
        <v>0</v>
      </c>
      <c r="G9" s="81">
        <f t="shared" ca="1" si="4"/>
        <v>0</v>
      </c>
      <c r="H9" s="88">
        <f t="shared" ca="1" si="5"/>
        <v>0</v>
      </c>
      <c r="I9" s="81">
        <f t="shared" ca="1" si="6"/>
        <v>0</v>
      </c>
      <c r="J9" s="88">
        <f t="shared" ca="1" si="7"/>
        <v>0</v>
      </c>
      <c r="K9" s="81">
        <f t="shared" ca="1" si="8"/>
        <v>1</v>
      </c>
      <c r="L9" s="90">
        <f t="shared" ca="1" si="9"/>
        <v>0.33333333333333331</v>
      </c>
    </row>
    <row r="10" spans="2:12" ht="18" customHeight="1" thickBot="1" x14ac:dyDescent="0.3">
      <c r="B10" s="42" t="s">
        <v>53</v>
      </c>
      <c r="C10" s="31">
        <f t="shared" ca="1" si="0"/>
        <v>0</v>
      </c>
      <c r="D10" s="45">
        <f t="shared" ca="1" si="1"/>
        <v>0</v>
      </c>
      <c r="E10" s="31">
        <f t="shared" ca="1" si="2"/>
        <v>0</v>
      </c>
      <c r="F10" s="45">
        <f t="shared" ca="1" si="3"/>
        <v>0</v>
      </c>
      <c r="G10" s="31">
        <f t="shared" ca="1" si="4"/>
        <v>0</v>
      </c>
      <c r="H10" s="45">
        <f t="shared" ca="1" si="5"/>
        <v>0</v>
      </c>
      <c r="I10" s="31">
        <f t="shared" ca="1" si="6"/>
        <v>0</v>
      </c>
      <c r="J10" s="45">
        <f t="shared" ca="1" si="7"/>
        <v>0</v>
      </c>
      <c r="K10" s="31">
        <f t="shared" ca="1" si="8"/>
        <v>0</v>
      </c>
      <c r="L10" s="39">
        <f t="shared" ca="1" si="9"/>
        <v>0</v>
      </c>
    </row>
    <row r="11" spans="2:12" ht="18" customHeight="1" thickTop="1" thickBot="1" x14ac:dyDescent="0.3">
      <c r="B11" s="35" t="s">
        <v>43</v>
      </c>
      <c r="C11" s="36">
        <f ca="1">SUM(C8:C10)</f>
        <v>2</v>
      </c>
      <c r="D11" s="46">
        <f ca="1">IF($K11&lt;&gt;0,C11/$K11,0)</f>
        <v>0.66666666666666663</v>
      </c>
      <c r="E11" s="36">
        <f ca="1">SUM(E8:E10)</f>
        <v>1</v>
      </c>
      <c r="F11" s="46">
        <f ca="1">IF($K11&lt;&gt;0,E11/$K11,0)</f>
        <v>0.33333333333333331</v>
      </c>
      <c r="G11" s="36">
        <f ca="1">SUM(G8:G10)</f>
        <v>0</v>
      </c>
      <c r="H11" s="46">
        <f ca="1">IF($K11&lt;&gt;0,G11/$K11,0)</f>
        <v>0</v>
      </c>
      <c r="I11" s="36">
        <f ca="1">SUM(I8:I10)</f>
        <v>0</v>
      </c>
      <c r="J11" s="46">
        <f ca="1">IF($K11&lt;&gt;0,I11/$K11,0)</f>
        <v>0</v>
      </c>
      <c r="K11" s="36">
        <f ca="1">SUM(K8:K10)</f>
        <v>3</v>
      </c>
      <c r="L11" s="47">
        <f ca="1">IF($K11&lt;&gt;0,K11/$K11,0)</f>
        <v>1</v>
      </c>
    </row>
    <row r="12" spans="2:12" ht="18" customHeight="1" thickBot="1" x14ac:dyDescent="0.3"/>
    <row r="13" spans="2:12" ht="20.100000000000001" customHeight="1" thickBot="1" x14ac:dyDescent="0.3">
      <c r="B13" s="151" t="s">
        <v>29</v>
      </c>
      <c r="C13" s="152"/>
      <c r="D13" s="152"/>
      <c r="E13" s="152"/>
      <c r="F13" s="152"/>
      <c r="G13" s="152"/>
      <c r="H13" s="152"/>
      <c r="I13" s="152"/>
      <c r="J13" s="152"/>
      <c r="K13" s="152"/>
      <c r="L13" s="153"/>
    </row>
    <row r="14" spans="2:12" ht="18" customHeight="1" x14ac:dyDescent="0.25">
      <c r="B14" s="168" t="s">
        <v>54</v>
      </c>
      <c r="C14" s="164" t="s">
        <v>33</v>
      </c>
      <c r="D14" s="165"/>
      <c r="E14" s="165"/>
      <c r="F14" s="165"/>
      <c r="G14" s="165"/>
      <c r="H14" s="165"/>
      <c r="I14" s="165"/>
      <c r="J14" s="165"/>
      <c r="K14" s="165"/>
      <c r="L14" s="158"/>
    </row>
    <row r="15" spans="2:12" ht="18" customHeight="1" x14ac:dyDescent="0.25">
      <c r="B15" s="168"/>
      <c r="C15" s="159" t="s">
        <v>31</v>
      </c>
      <c r="D15" s="159"/>
      <c r="E15" s="159" t="s">
        <v>57</v>
      </c>
      <c r="F15" s="159"/>
      <c r="G15" s="159" t="s">
        <v>90</v>
      </c>
      <c r="H15" s="159"/>
      <c r="I15" s="159" t="s">
        <v>112</v>
      </c>
      <c r="J15" s="159"/>
      <c r="K15" s="166" t="s">
        <v>43</v>
      </c>
      <c r="L15" s="161"/>
    </row>
    <row r="16" spans="2:12" ht="18" hidden="1" customHeight="1" x14ac:dyDescent="0.25">
      <c r="B16" s="168"/>
      <c r="C16" s="57"/>
      <c r="D16" s="57" t="str">
        <f>"'"&amp;C15&amp;"'!$AD$9:$AD$100"</f>
        <v>'Dir E Gef'!$AD$9:$AD$100</v>
      </c>
      <c r="E16" s="57"/>
      <c r="F16" s="57" t="str">
        <f>"'"&amp;E15&amp;"'!$AD$9:$AD$100"</f>
        <v>'Dir E WSP'!$AD$9:$AD$100</v>
      </c>
      <c r="G16" s="57"/>
      <c r="H16" s="57" t="str">
        <f>"'"&amp;G15&amp;"'!$AD$9:$AD$100"</f>
        <v>'Dir E ZOS'!$AD$9:$AD$100</v>
      </c>
      <c r="I16" s="57"/>
      <c r="J16" s="57" t="str">
        <f>"'"&amp;I15&amp;"'!$AD$9:$AD$100"</f>
        <v>'Dir E - Auswertung L Dir'!$AD$9:$AD$100</v>
      </c>
      <c r="K16" s="57"/>
      <c r="L16" s="82" t="str">
        <f>"'"&amp;K15&amp;"'!$AD$9:$AD$100"</f>
        <v>'Gesamt'!$AD$9:$AD$100</v>
      </c>
    </row>
    <row r="17" spans="2:12" ht="18" customHeight="1" thickBot="1" x14ac:dyDescent="0.3">
      <c r="B17" s="169"/>
      <c r="C17" s="83" t="s">
        <v>48</v>
      </c>
      <c r="D17" s="83" t="s">
        <v>44</v>
      </c>
      <c r="E17" s="83" t="s">
        <v>48</v>
      </c>
      <c r="F17" s="83" t="s">
        <v>44</v>
      </c>
      <c r="G17" s="83" t="s">
        <v>48</v>
      </c>
      <c r="H17" s="83" t="s">
        <v>44</v>
      </c>
      <c r="I17" s="83" t="s">
        <v>48</v>
      </c>
      <c r="J17" s="83" t="s">
        <v>44</v>
      </c>
      <c r="K17" s="83" t="s">
        <v>48</v>
      </c>
      <c r="L17" s="84" t="s">
        <v>44</v>
      </c>
    </row>
    <row r="18" spans="2:12" ht="18" customHeight="1" x14ac:dyDescent="0.25">
      <c r="B18" s="85" t="s">
        <v>45</v>
      </c>
      <c r="C18" s="80">
        <f t="shared" ref="C18:C20" ca="1" si="10">IFERROR(COUNTIF(INDIRECT(D$16),$B18),0)</f>
        <v>0</v>
      </c>
      <c r="D18" s="87">
        <f t="shared" ref="D18:D20" ca="1" si="11">IF(C$11&lt;&gt;0,C18/C$11,0)</f>
        <v>0</v>
      </c>
      <c r="E18" s="80">
        <f t="shared" ref="E18:E20" ca="1" si="12">IFERROR(COUNTIF(INDIRECT(F$16),$B18),0)</f>
        <v>1</v>
      </c>
      <c r="F18" s="87">
        <f t="shared" ref="F18:F20" ca="1" si="13">IF(E$11&lt;&gt;0,E18/E$11,0)</f>
        <v>1</v>
      </c>
      <c r="G18" s="80">
        <f t="shared" ref="G18:G20" ca="1" si="14">IFERROR(COUNTIF(INDIRECT(H$16),$B18),0)</f>
        <v>0</v>
      </c>
      <c r="H18" s="87">
        <f t="shared" ref="H18:H20" ca="1" si="15">IF(G$11&lt;&gt;0,G18/G$11,0)</f>
        <v>0</v>
      </c>
      <c r="I18" s="80">
        <f t="shared" ref="I18:I20" ca="1" si="16">IFERROR(COUNTIF(INDIRECT(J$16),$B18),0)</f>
        <v>0</v>
      </c>
      <c r="J18" s="87">
        <f t="shared" ref="J18:J20" ca="1" si="17">IF(I$11&lt;&gt;0,I18/I$11,0)</f>
        <v>0</v>
      </c>
      <c r="K18" s="80">
        <f t="shared" ref="K18:K20" ca="1" si="18">SUM(+$C18+$E18+$G18+$I18)</f>
        <v>1</v>
      </c>
      <c r="L18" s="89">
        <f t="shared" ref="L18:L20" ca="1" si="19">IF(K$11&lt;&gt;0,K18/K$11,0)</f>
        <v>0.33333333333333331</v>
      </c>
    </row>
    <row r="19" spans="2:12" ht="18" customHeight="1" x14ac:dyDescent="0.25">
      <c r="B19" s="86" t="s">
        <v>32</v>
      </c>
      <c r="C19" s="81">
        <f t="shared" ca="1" si="10"/>
        <v>0</v>
      </c>
      <c r="D19" s="88">
        <f t="shared" ca="1" si="11"/>
        <v>0</v>
      </c>
      <c r="E19" s="81">
        <f t="shared" ca="1" si="12"/>
        <v>0</v>
      </c>
      <c r="F19" s="88">
        <f t="shared" ca="1" si="13"/>
        <v>0</v>
      </c>
      <c r="G19" s="81">
        <f t="shared" ca="1" si="14"/>
        <v>0</v>
      </c>
      <c r="H19" s="88">
        <f t="shared" ca="1" si="15"/>
        <v>0</v>
      </c>
      <c r="I19" s="81">
        <f t="shared" ca="1" si="16"/>
        <v>0</v>
      </c>
      <c r="J19" s="88">
        <f t="shared" ca="1" si="17"/>
        <v>0</v>
      </c>
      <c r="K19" s="81">
        <f t="shared" ca="1" si="18"/>
        <v>0</v>
      </c>
      <c r="L19" s="90">
        <f t="shared" ca="1" si="19"/>
        <v>0</v>
      </c>
    </row>
    <row r="20" spans="2:12" ht="18" customHeight="1" thickBot="1" x14ac:dyDescent="0.3">
      <c r="B20" s="42" t="s">
        <v>53</v>
      </c>
      <c r="C20" s="31">
        <f t="shared" ca="1" si="10"/>
        <v>0</v>
      </c>
      <c r="D20" s="45">
        <f t="shared" ca="1" si="11"/>
        <v>0</v>
      </c>
      <c r="E20" s="31">
        <f t="shared" ca="1" si="12"/>
        <v>0</v>
      </c>
      <c r="F20" s="45">
        <f t="shared" ca="1" si="13"/>
        <v>0</v>
      </c>
      <c r="G20" s="31">
        <f t="shared" ca="1" si="14"/>
        <v>0</v>
      </c>
      <c r="H20" s="45">
        <f t="shared" ca="1" si="15"/>
        <v>0</v>
      </c>
      <c r="I20" s="31">
        <f t="shared" ca="1" si="16"/>
        <v>0</v>
      </c>
      <c r="J20" s="45">
        <f t="shared" ca="1" si="17"/>
        <v>0</v>
      </c>
      <c r="K20" s="31">
        <f t="shared" ca="1" si="18"/>
        <v>0</v>
      </c>
      <c r="L20" s="39">
        <f t="shared" ca="1" si="19"/>
        <v>0</v>
      </c>
    </row>
    <row r="21" spans="2:12" ht="18" customHeight="1" thickTop="1" thickBot="1" x14ac:dyDescent="0.3">
      <c r="B21" s="35" t="s">
        <v>43</v>
      </c>
      <c r="C21" s="36">
        <f ca="1">SUM(C18:C20)</f>
        <v>0</v>
      </c>
      <c r="D21" s="46">
        <f ca="1">IF($K21&lt;&gt;0,C21/$K21,0)</f>
        <v>0</v>
      </c>
      <c r="E21" s="36">
        <f ca="1">SUM(E18:E20)</f>
        <v>1</v>
      </c>
      <c r="F21" s="46">
        <f ca="1">IF($K21&lt;&gt;0,E21/$K21,0)</f>
        <v>1</v>
      </c>
      <c r="G21" s="36">
        <f ca="1">SUM(G18:G20)</f>
        <v>0</v>
      </c>
      <c r="H21" s="46">
        <f ca="1">IF($K21&lt;&gt;0,G21/$K21,0)</f>
        <v>0</v>
      </c>
      <c r="I21" s="36">
        <f ca="1">SUM(I18:I20)</f>
        <v>0</v>
      </c>
      <c r="J21" s="46">
        <f ca="1">IF($K21&lt;&gt;0,I21/$K21,0)</f>
        <v>0</v>
      </c>
      <c r="K21" s="36">
        <f ca="1">SUM(K18:K20)</f>
        <v>1</v>
      </c>
      <c r="L21" s="47">
        <f ca="1">IF($K21&lt;&gt;0,K21/$K21,0)</f>
        <v>1</v>
      </c>
    </row>
    <row r="22" spans="2:12" ht="18" customHeight="1" thickBot="1" x14ac:dyDescent="0.3"/>
    <row r="23" spans="2:12" ht="20.100000000000001" customHeight="1" thickBot="1" x14ac:dyDescent="0.3">
      <c r="B23" s="151" t="s">
        <v>30</v>
      </c>
      <c r="C23" s="152"/>
      <c r="D23" s="152"/>
      <c r="E23" s="152"/>
      <c r="F23" s="152"/>
      <c r="G23" s="152"/>
      <c r="H23" s="152"/>
      <c r="I23" s="152"/>
      <c r="J23" s="152"/>
      <c r="K23" s="152"/>
      <c r="L23" s="153"/>
    </row>
    <row r="24" spans="2:12" ht="18" customHeight="1" x14ac:dyDescent="0.25">
      <c r="B24" s="168" t="s">
        <v>54</v>
      </c>
      <c r="C24" s="164" t="s">
        <v>33</v>
      </c>
      <c r="D24" s="165"/>
      <c r="E24" s="165"/>
      <c r="F24" s="165"/>
      <c r="G24" s="165"/>
      <c r="H24" s="165"/>
      <c r="I24" s="165"/>
      <c r="J24" s="165"/>
      <c r="K24" s="165"/>
      <c r="L24" s="158"/>
    </row>
    <row r="25" spans="2:12" ht="18" customHeight="1" x14ac:dyDescent="0.25">
      <c r="B25" s="168"/>
      <c r="C25" s="159" t="s">
        <v>31</v>
      </c>
      <c r="D25" s="159"/>
      <c r="E25" s="159" t="s">
        <v>57</v>
      </c>
      <c r="F25" s="159"/>
      <c r="G25" s="159" t="s">
        <v>90</v>
      </c>
      <c r="H25" s="159"/>
      <c r="I25" s="159" t="s">
        <v>112</v>
      </c>
      <c r="J25" s="159"/>
      <c r="K25" s="166" t="s">
        <v>43</v>
      </c>
      <c r="L25" s="161"/>
    </row>
    <row r="26" spans="2:12" ht="18" hidden="1" customHeight="1" x14ac:dyDescent="0.25">
      <c r="B26" s="168"/>
      <c r="C26" s="57"/>
      <c r="D26" s="57" t="str">
        <f>"'"&amp;C25&amp;"'!$AN$9:$AN$100"</f>
        <v>'Dir E Gef'!$AN$9:$AN$100</v>
      </c>
      <c r="E26" s="57"/>
      <c r="F26" s="57" t="str">
        <f>"'"&amp;E25&amp;"'!$AN$9:$AN$100"</f>
        <v>'Dir E WSP'!$AN$9:$AN$100</v>
      </c>
      <c r="G26" s="57"/>
      <c r="H26" s="57" t="str">
        <f>"'"&amp;G25&amp;"'!$AN$9:$AN$100"</f>
        <v>'Dir E ZOS'!$AN$9:$AN$100</v>
      </c>
      <c r="I26" s="57"/>
      <c r="J26" s="57" t="str">
        <f>"'"&amp;I25&amp;"'!$AN$9:$AN$100"</f>
        <v>'Dir E - Auswertung L Dir'!$AN$9:$AN$100</v>
      </c>
      <c r="K26" s="57"/>
      <c r="L26" s="82" t="str">
        <f>"'"&amp;K25&amp;"'!$AN$9:$AN$100"</f>
        <v>'Gesamt'!$AN$9:$AN$100</v>
      </c>
    </row>
    <row r="27" spans="2:12" ht="18" customHeight="1" thickBot="1" x14ac:dyDescent="0.3">
      <c r="B27" s="169"/>
      <c r="C27" s="83" t="s">
        <v>48</v>
      </c>
      <c r="D27" s="83" t="s">
        <v>44</v>
      </c>
      <c r="E27" s="83" t="s">
        <v>48</v>
      </c>
      <c r="F27" s="83" t="s">
        <v>44</v>
      </c>
      <c r="G27" s="83" t="s">
        <v>48</v>
      </c>
      <c r="H27" s="83" t="s">
        <v>44</v>
      </c>
      <c r="I27" s="83" t="s">
        <v>48</v>
      </c>
      <c r="J27" s="83" t="s">
        <v>44</v>
      </c>
      <c r="K27" s="83" t="s">
        <v>48</v>
      </c>
      <c r="L27" s="84" t="s">
        <v>44</v>
      </c>
    </row>
    <row r="28" spans="2:12" ht="18" customHeight="1" x14ac:dyDescent="0.25">
      <c r="B28" s="85" t="s">
        <v>45</v>
      </c>
      <c r="C28" s="80">
        <f t="shared" ref="C28:C30" ca="1" si="20">IFERROR(COUNTIF(INDIRECT(D$26),$B28),0)</f>
        <v>0</v>
      </c>
      <c r="D28" s="87">
        <f t="shared" ref="D28:D30" ca="1" si="21">IF(C$11&lt;&gt;0,C28/C$11,0)</f>
        <v>0</v>
      </c>
      <c r="E28" s="80">
        <f t="shared" ref="E28:E30" ca="1" si="22">IFERROR(COUNTIF(INDIRECT(F$26),$B28),0)</f>
        <v>0</v>
      </c>
      <c r="F28" s="87">
        <f t="shared" ref="F28:F30" ca="1" si="23">IF(E$11&lt;&gt;0,E28/E$11,0)</f>
        <v>0</v>
      </c>
      <c r="G28" s="80">
        <f t="shared" ref="G28:G30" ca="1" si="24">IFERROR(COUNTIF(INDIRECT(H$26),$B28),0)</f>
        <v>0</v>
      </c>
      <c r="H28" s="87">
        <f t="shared" ref="H28:H30" ca="1" si="25">IF(G$11&lt;&gt;0,G28/G$11,0)</f>
        <v>0</v>
      </c>
      <c r="I28" s="80">
        <f t="shared" ref="I28:I30" ca="1" si="26">IFERROR(COUNTIF(INDIRECT(J$26),$B28),0)</f>
        <v>0</v>
      </c>
      <c r="J28" s="87">
        <f t="shared" ref="J28:J30" ca="1" si="27">IF(I$11&lt;&gt;0,I28/I$11,0)</f>
        <v>0</v>
      </c>
      <c r="K28" s="80">
        <f t="shared" ref="K28:K30" ca="1" si="28">SUM(+$C28+$E28+$G28+$I28)</f>
        <v>0</v>
      </c>
      <c r="L28" s="89">
        <f t="shared" ref="L28:L30" ca="1" si="29">IF(K$11&lt;&gt;0,K28/K$11,0)</f>
        <v>0</v>
      </c>
    </row>
    <row r="29" spans="2:12" ht="18" customHeight="1" x14ac:dyDescent="0.25">
      <c r="B29" s="86" t="s">
        <v>32</v>
      </c>
      <c r="C29" s="81">
        <f t="shared" ca="1" si="20"/>
        <v>0</v>
      </c>
      <c r="D29" s="88">
        <f t="shared" ca="1" si="21"/>
        <v>0</v>
      </c>
      <c r="E29" s="81">
        <f t="shared" ca="1" si="22"/>
        <v>0</v>
      </c>
      <c r="F29" s="88">
        <f t="shared" ca="1" si="23"/>
        <v>0</v>
      </c>
      <c r="G29" s="81">
        <f t="shared" ca="1" si="24"/>
        <v>0</v>
      </c>
      <c r="H29" s="88">
        <f t="shared" ca="1" si="25"/>
        <v>0</v>
      </c>
      <c r="I29" s="81">
        <f t="shared" ca="1" si="26"/>
        <v>0</v>
      </c>
      <c r="J29" s="88">
        <f t="shared" ca="1" si="27"/>
        <v>0</v>
      </c>
      <c r="K29" s="81">
        <f t="shared" ca="1" si="28"/>
        <v>0</v>
      </c>
      <c r="L29" s="90">
        <f t="shared" ca="1" si="29"/>
        <v>0</v>
      </c>
    </row>
    <row r="30" spans="2:12" ht="18" customHeight="1" thickBot="1" x14ac:dyDescent="0.3">
      <c r="B30" s="42" t="s">
        <v>53</v>
      </c>
      <c r="C30" s="31">
        <f t="shared" ca="1" si="20"/>
        <v>0</v>
      </c>
      <c r="D30" s="45">
        <f t="shared" ca="1" si="21"/>
        <v>0</v>
      </c>
      <c r="E30" s="31">
        <f t="shared" ca="1" si="22"/>
        <v>0</v>
      </c>
      <c r="F30" s="45">
        <f t="shared" ca="1" si="23"/>
        <v>0</v>
      </c>
      <c r="G30" s="31">
        <f t="shared" ca="1" si="24"/>
        <v>0</v>
      </c>
      <c r="H30" s="45">
        <f t="shared" ca="1" si="25"/>
        <v>0</v>
      </c>
      <c r="I30" s="31">
        <f t="shared" ca="1" si="26"/>
        <v>0</v>
      </c>
      <c r="J30" s="45">
        <f t="shared" ca="1" si="27"/>
        <v>0</v>
      </c>
      <c r="K30" s="31">
        <f t="shared" ca="1" si="28"/>
        <v>0</v>
      </c>
      <c r="L30" s="39">
        <f t="shared" ca="1" si="29"/>
        <v>0</v>
      </c>
    </row>
    <row r="31" spans="2:12" ht="18" customHeight="1" thickTop="1" thickBot="1" x14ac:dyDescent="0.3">
      <c r="B31" s="35" t="s">
        <v>43</v>
      </c>
      <c r="C31" s="36">
        <f ca="1">SUM(C28:C30)</f>
        <v>0</v>
      </c>
      <c r="D31" s="46">
        <f ca="1">IF($K31&lt;&gt;0,C31/$K31,0)</f>
        <v>0</v>
      </c>
      <c r="E31" s="36">
        <f ca="1">SUM(E28:E30)</f>
        <v>0</v>
      </c>
      <c r="F31" s="46">
        <f ca="1">IF($K31&lt;&gt;0,E31/$K31,0)</f>
        <v>0</v>
      </c>
      <c r="G31" s="36">
        <f ca="1">SUM(G28:G30)</f>
        <v>0</v>
      </c>
      <c r="H31" s="46">
        <f ca="1">IF($K31&lt;&gt;0,G31/$K31,0)</f>
        <v>0</v>
      </c>
      <c r="I31" s="36">
        <f ca="1">SUM(I28:I30)</f>
        <v>0</v>
      </c>
      <c r="J31" s="46">
        <f ca="1">IF($K31&lt;&gt;0,I31/$K31,0)</f>
        <v>0</v>
      </c>
      <c r="K31" s="36">
        <f ca="1">SUM(K28:K30)</f>
        <v>0</v>
      </c>
      <c r="L31" s="47">
        <f ca="1">IF($K31&lt;&gt;0,K31/$K31,0)</f>
        <v>0</v>
      </c>
    </row>
    <row r="32" spans="2:12" ht="5.0999999999999996" customHeight="1" x14ac:dyDescent="0.25"/>
  </sheetData>
  <sheetProtection algorithmName="SHA-512" hashValue="k6gOa1JPuhrU4LInIhx9n8LbJuKO8U3gPuebx13T1nx/AoNRvoenu7NR+N7qC3j2VBAkcFgRlLa2m2TT+dYrWg==" saltValue="3s7wZAEk6bxQl65nX1S99w==" spinCount="100000" sheet="1" objects="1" scenarios="1" selectLockedCells="1"/>
  <mergeCells count="24">
    <mergeCell ref="B23:L23"/>
    <mergeCell ref="B24:B27"/>
    <mergeCell ref="C25:D25"/>
    <mergeCell ref="E25:F25"/>
    <mergeCell ref="E15:F15"/>
    <mergeCell ref="B14:B17"/>
    <mergeCell ref="C15:D15"/>
    <mergeCell ref="C24:L24"/>
    <mergeCell ref="K25:L25"/>
    <mergeCell ref="G15:H15"/>
    <mergeCell ref="G25:H25"/>
    <mergeCell ref="I15:J15"/>
    <mergeCell ref="I25:J25"/>
    <mergeCell ref="C14:L14"/>
    <mergeCell ref="K15:L15"/>
    <mergeCell ref="B3:L3"/>
    <mergeCell ref="C4:L4"/>
    <mergeCell ref="K5:L5"/>
    <mergeCell ref="B13:L13"/>
    <mergeCell ref="E5:F5"/>
    <mergeCell ref="B4:B7"/>
    <mergeCell ref="C5:D5"/>
    <mergeCell ref="G5:H5"/>
    <mergeCell ref="I5:J5"/>
  </mergeCells>
  <pageMargins left="0.70866141732283505" right="0.70866141732283505" top="0.74803149606299202" bottom="0.78740157499999996" header="0.3" footer="0.3"/>
  <pageSetup paperSize="9" scale="80" fitToHeight="0" pageOrder="overThenDown" orientation="portrait" r:id="rId1"/>
  <headerFooter>
    <oddHeader>&amp;LDir E ET&amp;R&amp;D</oddHeader>
  </headerFooter>
  <rowBreaks count="1" manualBreakCount="1">
    <brk id="32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3">
    <pageSetUpPr fitToPage="1"/>
  </sheetPr>
  <dimension ref="A1:K23"/>
  <sheetViews>
    <sheetView showGridLines="0" zoomScaleNormal="100" workbookViewId="0">
      <selection activeCell="J10" sqref="J10"/>
    </sheetView>
  </sheetViews>
  <sheetFormatPr baseColWidth="10" defaultColWidth="0" defaultRowHeight="18" customHeight="1" zeroHeight="1" x14ac:dyDescent="0.25"/>
  <cols>
    <col min="1" max="1" width="0.85546875" style="58" customWidth="1"/>
    <col min="2" max="2" width="20.7109375" style="58" customWidth="1"/>
    <col min="3" max="10" width="8.7109375" style="58" customWidth="1"/>
    <col min="11" max="11" width="0.85546875" style="58" customWidth="1"/>
    <col min="12" max="16384" width="10.7109375" style="58" hidden="1"/>
  </cols>
  <sheetData>
    <row r="1" spans="2:10" ht="32.1" customHeight="1" x14ac:dyDescent="0.25">
      <c r="B1" s="32" t="s">
        <v>51</v>
      </c>
    </row>
    <row r="2" spans="2:10" ht="5.0999999999999996" customHeight="1" thickBot="1" x14ac:dyDescent="0.3"/>
    <row r="3" spans="2:10" ht="18" customHeight="1" x14ac:dyDescent="0.25">
      <c r="B3" s="167" t="s">
        <v>111</v>
      </c>
      <c r="C3" s="164" t="s">
        <v>33</v>
      </c>
      <c r="D3" s="165"/>
      <c r="E3" s="165"/>
      <c r="F3" s="165"/>
      <c r="G3" s="165"/>
      <c r="H3" s="165"/>
      <c r="I3" s="165"/>
      <c r="J3" s="158"/>
    </row>
    <row r="4" spans="2:10" ht="18" customHeight="1" x14ac:dyDescent="0.25">
      <c r="B4" s="168"/>
      <c r="C4" s="159" t="s">
        <v>31</v>
      </c>
      <c r="D4" s="159"/>
      <c r="E4" s="159" t="s">
        <v>57</v>
      </c>
      <c r="F4" s="159"/>
      <c r="G4" s="159" t="s">
        <v>90</v>
      </c>
      <c r="H4" s="159"/>
      <c r="I4" s="166" t="s">
        <v>43</v>
      </c>
      <c r="J4" s="161"/>
    </row>
    <row r="5" spans="2:10" ht="18" hidden="1" customHeight="1" x14ac:dyDescent="0.25">
      <c r="B5" s="168"/>
      <c r="C5" s="159" t="str">
        <f t="shared" ref="C5" si="0">"'"&amp;C4&amp;"'!$J$9:$J$100"</f>
        <v>'Dir E Gef'!$J$9:$J$100</v>
      </c>
      <c r="D5" s="159"/>
      <c r="E5" s="159" t="str">
        <f t="shared" ref="E5" si="1">"'"&amp;E4&amp;"'!$J$9:$J$100"</f>
        <v>'Dir E WSP'!$J$9:$J$100</v>
      </c>
      <c r="F5" s="159"/>
      <c r="G5" s="159" t="str">
        <f t="shared" ref="G5" si="2">"'"&amp;G4&amp;"'!$J$9:$J$100"</f>
        <v>'Dir E ZOS'!$J$9:$J$100</v>
      </c>
      <c r="H5" s="159"/>
      <c r="I5" s="57"/>
      <c r="J5" s="82"/>
    </row>
    <row r="6" spans="2:10" ht="18" customHeight="1" thickBot="1" x14ac:dyDescent="0.3">
      <c r="B6" s="169"/>
      <c r="C6" s="83" t="s">
        <v>48</v>
      </c>
      <c r="D6" s="83" t="s">
        <v>44</v>
      </c>
      <c r="E6" s="83" t="s">
        <v>48</v>
      </c>
      <c r="F6" s="83" t="s">
        <v>44</v>
      </c>
      <c r="G6" s="83" t="s">
        <v>48</v>
      </c>
      <c r="H6" s="83" t="s">
        <v>44</v>
      </c>
      <c r="I6" s="83" t="s">
        <v>48</v>
      </c>
      <c r="J6" s="84" t="s">
        <v>44</v>
      </c>
    </row>
    <row r="7" spans="2:10" ht="18" customHeight="1" x14ac:dyDescent="0.25">
      <c r="B7" s="85" t="s">
        <v>34</v>
      </c>
      <c r="C7" s="80">
        <f t="shared" ref="C7:C14" ca="1" si="3">IFERROR(COUNTIF(INDIRECT(C$5),$B7),0)</f>
        <v>0</v>
      </c>
      <c r="D7" s="87">
        <f t="shared" ref="D7:D14" ca="1" si="4">IF(C$15&lt;&gt;0,C7/C$15,0)</f>
        <v>0</v>
      </c>
      <c r="E7" s="80">
        <f t="shared" ref="E7:E14" ca="1" si="5">IFERROR(COUNTIF(INDIRECT(E$5),$B7),0)</f>
        <v>0</v>
      </c>
      <c r="F7" s="87">
        <f t="shared" ref="F7:F14" ca="1" si="6">IF(E$15&lt;&gt;0,E7/E$15,0)</f>
        <v>0</v>
      </c>
      <c r="G7" s="80">
        <f t="shared" ref="G7:G14" ca="1" si="7">IFERROR(COUNTIF(INDIRECT(G$5),$B7),0)</f>
        <v>0</v>
      </c>
      <c r="H7" s="87">
        <f t="shared" ref="H7:H14" ca="1" si="8">IF(G$15&lt;&gt;0,G7/G$15,0)</f>
        <v>0</v>
      </c>
      <c r="I7" s="80">
        <f t="shared" ref="I7:I14" ca="1" si="9">SUM(+$C7+$E7+$G7)</f>
        <v>0</v>
      </c>
      <c r="J7" s="89">
        <f t="shared" ref="J7:J14" ca="1" si="10">IF(I$15&lt;&gt;0,I7/I$15,0)</f>
        <v>0</v>
      </c>
    </row>
    <row r="8" spans="2:10" ht="18" customHeight="1" x14ac:dyDescent="0.25">
      <c r="B8" s="86" t="s">
        <v>35</v>
      </c>
      <c r="C8" s="81">
        <f t="shared" ca="1" si="3"/>
        <v>0</v>
      </c>
      <c r="D8" s="88">
        <f t="shared" ca="1" si="4"/>
        <v>0</v>
      </c>
      <c r="E8" s="81">
        <f t="shared" ca="1" si="5"/>
        <v>0</v>
      </c>
      <c r="F8" s="88">
        <f t="shared" ca="1" si="6"/>
        <v>0</v>
      </c>
      <c r="G8" s="81">
        <f t="shared" ca="1" si="7"/>
        <v>0</v>
      </c>
      <c r="H8" s="88">
        <f t="shared" ca="1" si="8"/>
        <v>0</v>
      </c>
      <c r="I8" s="81">
        <f t="shared" ca="1" si="9"/>
        <v>0</v>
      </c>
      <c r="J8" s="90">
        <f t="shared" ca="1" si="10"/>
        <v>0</v>
      </c>
    </row>
    <row r="9" spans="2:10" ht="18" customHeight="1" x14ac:dyDescent="0.25">
      <c r="B9" s="86" t="s">
        <v>36</v>
      </c>
      <c r="C9" s="81">
        <f t="shared" ca="1" si="3"/>
        <v>0</v>
      </c>
      <c r="D9" s="88">
        <f t="shared" ca="1" si="4"/>
        <v>0</v>
      </c>
      <c r="E9" s="81">
        <f t="shared" ca="1" si="5"/>
        <v>0</v>
      </c>
      <c r="F9" s="88">
        <f t="shared" ca="1" si="6"/>
        <v>0</v>
      </c>
      <c r="G9" s="81">
        <f t="shared" ca="1" si="7"/>
        <v>0</v>
      </c>
      <c r="H9" s="88">
        <f t="shared" ca="1" si="8"/>
        <v>0</v>
      </c>
      <c r="I9" s="81">
        <f t="shared" ca="1" si="9"/>
        <v>0</v>
      </c>
      <c r="J9" s="90">
        <f t="shared" ca="1" si="10"/>
        <v>0</v>
      </c>
    </row>
    <row r="10" spans="2:10" ht="18" customHeight="1" x14ac:dyDescent="0.25">
      <c r="B10" s="86" t="s">
        <v>37</v>
      </c>
      <c r="C10" s="81">
        <f t="shared" ca="1" si="3"/>
        <v>0</v>
      </c>
      <c r="D10" s="88">
        <f t="shared" ca="1" si="4"/>
        <v>0</v>
      </c>
      <c r="E10" s="81">
        <f t="shared" ca="1" si="5"/>
        <v>0</v>
      </c>
      <c r="F10" s="88">
        <f t="shared" ca="1" si="6"/>
        <v>0</v>
      </c>
      <c r="G10" s="81">
        <f t="shared" ca="1" si="7"/>
        <v>0</v>
      </c>
      <c r="H10" s="88">
        <f t="shared" ca="1" si="8"/>
        <v>0</v>
      </c>
      <c r="I10" s="81">
        <f t="shared" ca="1" si="9"/>
        <v>0</v>
      </c>
      <c r="J10" s="90">
        <f t="shared" ca="1" si="10"/>
        <v>0</v>
      </c>
    </row>
    <row r="11" spans="2:10" ht="18" customHeight="1" x14ac:dyDescent="0.25">
      <c r="B11" s="86" t="s">
        <v>38</v>
      </c>
      <c r="C11" s="81">
        <f t="shared" ca="1" si="3"/>
        <v>0</v>
      </c>
      <c r="D11" s="88">
        <f t="shared" ca="1" si="4"/>
        <v>0</v>
      </c>
      <c r="E11" s="81">
        <f t="shared" ca="1" si="5"/>
        <v>0</v>
      </c>
      <c r="F11" s="88">
        <f t="shared" ca="1" si="6"/>
        <v>0</v>
      </c>
      <c r="G11" s="81">
        <f t="shared" ca="1" si="7"/>
        <v>1</v>
      </c>
      <c r="H11" s="88">
        <f t="shared" ca="1" si="8"/>
        <v>1</v>
      </c>
      <c r="I11" s="81">
        <f t="shared" ca="1" si="9"/>
        <v>1</v>
      </c>
      <c r="J11" s="90">
        <f t="shared" ca="1" si="10"/>
        <v>1</v>
      </c>
    </row>
    <row r="12" spans="2:10" ht="18" customHeight="1" x14ac:dyDescent="0.25">
      <c r="B12" s="86" t="s">
        <v>39</v>
      </c>
      <c r="C12" s="81">
        <f t="shared" ca="1" si="3"/>
        <v>0</v>
      </c>
      <c r="D12" s="88">
        <f t="shared" ca="1" si="4"/>
        <v>0</v>
      </c>
      <c r="E12" s="81">
        <f t="shared" ca="1" si="5"/>
        <v>0</v>
      </c>
      <c r="F12" s="88">
        <f t="shared" ca="1" si="6"/>
        <v>0</v>
      </c>
      <c r="G12" s="81">
        <f t="shared" ca="1" si="7"/>
        <v>0</v>
      </c>
      <c r="H12" s="88">
        <f t="shared" ca="1" si="8"/>
        <v>0</v>
      </c>
      <c r="I12" s="81">
        <f t="shared" ca="1" si="9"/>
        <v>0</v>
      </c>
      <c r="J12" s="90">
        <f t="shared" ca="1" si="10"/>
        <v>0</v>
      </c>
    </row>
    <row r="13" spans="2:10" ht="18" customHeight="1" x14ac:dyDescent="0.25">
      <c r="B13" s="86" t="s">
        <v>40</v>
      </c>
      <c r="C13" s="81">
        <f t="shared" ca="1" si="3"/>
        <v>0</v>
      </c>
      <c r="D13" s="88">
        <f t="shared" ca="1" si="4"/>
        <v>0</v>
      </c>
      <c r="E13" s="81">
        <f t="shared" ca="1" si="5"/>
        <v>0</v>
      </c>
      <c r="F13" s="88">
        <f t="shared" ca="1" si="6"/>
        <v>0</v>
      </c>
      <c r="G13" s="81">
        <f t="shared" ca="1" si="7"/>
        <v>0</v>
      </c>
      <c r="H13" s="88">
        <f t="shared" ca="1" si="8"/>
        <v>0</v>
      </c>
      <c r="I13" s="81">
        <f t="shared" ca="1" si="9"/>
        <v>0</v>
      </c>
      <c r="J13" s="90">
        <f t="shared" ca="1" si="10"/>
        <v>0</v>
      </c>
    </row>
    <row r="14" spans="2:10" ht="18" customHeight="1" thickBot="1" x14ac:dyDescent="0.3">
      <c r="B14" s="42" t="s">
        <v>41</v>
      </c>
      <c r="C14" s="31">
        <f t="shared" ca="1" si="3"/>
        <v>0</v>
      </c>
      <c r="D14" s="45">
        <f t="shared" ca="1" si="4"/>
        <v>0</v>
      </c>
      <c r="E14" s="31">
        <f t="shared" ca="1" si="5"/>
        <v>0</v>
      </c>
      <c r="F14" s="45">
        <f t="shared" ca="1" si="6"/>
        <v>0</v>
      </c>
      <c r="G14" s="31">
        <f t="shared" ca="1" si="7"/>
        <v>0</v>
      </c>
      <c r="H14" s="45">
        <f t="shared" ca="1" si="8"/>
        <v>0</v>
      </c>
      <c r="I14" s="31">
        <f t="shared" ca="1" si="9"/>
        <v>0</v>
      </c>
      <c r="J14" s="39">
        <f t="shared" ca="1" si="10"/>
        <v>0</v>
      </c>
    </row>
    <row r="15" spans="2:10" ht="18" customHeight="1" thickTop="1" thickBot="1" x14ac:dyDescent="0.3">
      <c r="B15" s="35" t="s">
        <v>43</v>
      </c>
      <c r="C15" s="36">
        <f ca="1">SUM(C$7:C14)</f>
        <v>0</v>
      </c>
      <c r="D15" s="46">
        <f ca="1">IF($I15&lt;&gt;0,C15/$I15,0)</f>
        <v>0</v>
      </c>
      <c r="E15" s="36">
        <f ca="1">SUM(E$7:E14)</f>
        <v>0</v>
      </c>
      <c r="F15" s="46">
        <f ca="1">IF($I15&lt;&gt;0,E15/$I15,0)</f>
        <v>0</v>
      </c>
      <c r="G15" s="36">
        <f ca="1">SUM(G$7:G14)</f>
        <v>1</v>
      </c>
      <c r="H15" s="46">
        <f ca="1">IF($I15&lt;&gt;0,G15/$I15,0)</f>
        <v>1</v>
      </c>
      <c r="I15" s="36">
        <f ca="1">SUM(I$7:I14)</f>
        <v>1</v>
      </c>
      <c r="J15" s="47">
        <f ca="1">IF($I15&lt;&gt;0,I15/$I15,0)</f>
        <v>1</v>
      </c>
    </row>
    <row r="16" spans="2:10" ht="5.0999999999999996" customHeight="1" x14ac:dyDescent="0.25"/>
    <row r="17" ht="18" hidden="1" customHeight="1" x14ac:dyDescent="0.25"/>
    <row r="18" ht="18" hidden="1" customHeight="1" x14ac:dyDescent="0.25"/>
    <row r="19" ht="18" hidden="1" customHeight="1" x14ac:dyDescent="0.25"/>
    <row r="20" ht="18" hidden="1" customHeight="1" x14ac:dyDescent="0.25"/>
    <row r="21" ht="18" hidden="1" customHeight="1" x14ac:dyDescent="0.25"/>
    <row r="22" ht="18" hidden="1" customHeight="1" x14ac:dyDescent="0.25"/>
    <row r="23" ht="18" hidden="1" customHeight="1" x14ac:dyDescent="0.25"/>
  </sheetData>
  <sheetProtection algorithmName="SHA-512" hashValue="qwO2EhfP+Synldq5RwHp+XejX2NDmNfb8ApnXqVyeBLYXfcEnWTPvWrdcjDyXaK5GhpnhCq3MqrhOeHx1dVn3g==" saltValue="9D60G1BfVuPSGDX8wR/lXA==" spinCount="100000" sheet="1" objects="1" scenarios="1" selectLockedCells="1"/>
  <mergeCells count="9">
    <mergeCell ref="G4:H4"/>
    <mergeCell ref="G5:H5"/>
    <mergeCell ref="C3:J3"/>
    <mergeCell ref="I4:J4"/>
    <mergeCell ref="B3:B6"/>
    <mergeCell ref="C4:D4"/>
    <mergeCell ref="C5:D5"/>
    <mergeCell ref="E4:F4"/>
    <mergeCell ref="E5:F5"/>
  </mergeCells>
  <pageMargins left="0.70866141732283505" right="0.70866141732283505" top="0.74803149606299202" bottom="0.78740157499999996" header="0.3" footer="0.3"/>
  <pageSetup paperSize="9" scale="95" fitToHeight="0" pageOrder="overThenDown" orientation="portrait" r:id="rId1"/>
  <headerFooter>
    <oddHeader>&amp;LDir E ET&amp;R&amp;D</oddHeader>
  </headerFooter>
  <rowBreaks count="1" manualBreakCount="1">
    <brk id="16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4"/>
  <dimension ref="A1:AA17"/>
  <sheetViews>
    <sheetView showGridLines="0" workbookViewId="0">
      <selection activeCell="F13" sqref="F13"/>
    </sheetView>
  </sheetViews>
  <sheetFormatPr baseColWidth="10" defaultColWidth="0" defaultRowHeight="18" customHeight="1" zeroHeight="1" x14ac:dyDescent="0.25"/>
  <cols>
    <col min="1" max="1" width="0.85546875" style="116" customWidth="1"/>
    <col min="2" max="2" width="24.7109375" style="116" customWidth="1"/>
    <col min="3" max="26" width="6.7109375" style="116" customWidth="1"/>
    <col min="27" max="27" width="0.85546875" style="116" customWidth="1"/>
    <col min="28" max="16384" width="10.7109375" style="116" hidden="1"/>
  </cols>
  <sheetData>
    <row r="1" spans="2:27" ht="32.1" customHeight="1" x14ac:dyDescent="0.25">
      <c r="B1" s="32" t="s">
        <v>96</v>
      </c>
    </row>
    <row r="2" spans="2:27" ht="18" customHeight="1" x14ac:dyDescent="0.25">
      <c r="B2" s="116" t="s">
        <v>97</v>
      </c>
      <c r="C2" s="177" t="s">
        <v>109</v>
      </c>
      <c r="D2" s="177"/>
      <c r="E2" s="116" t="s">
        <v>107</v>
      </c>
      <c r="F2" s="177" t="s">
        <v>110</v>
      </c>
      <c r="G2" s="177"/>
    </row>
    <row r="3" spans="2:27" ht="5.0999999999999996" customHeight="1" thickBot="1" x14ac:dyDescent="0.3"/>
    <row r="4" spans="2:27" ht="18" customHeight="1" x14ac:dyDescent="0.25">
      <c r="B4" s="174" t="s">
        <v>137</v>
      </c>
      <c r="C4" s="167" t="s">
        <v>98</v>
      </c>
      <c r="D4" s="172"/>
      <c r="E4" s="173"/>
      <c r="F4" s="167"/>
      <c r="G4" s="172"/>
      <c r="H4" s="173"/>
      <c r="I4" s="167"/>
      <c r="J4" s="172"/>
      <c r="K4" s="173"/>
      <c r="L4" s="167"/>
      <c r="M4" s="172"/>
      <c r="N4" s="173"/>
      <c r="O4" s="167" t="s">
        <v>99</v>
      </c>
      <c r="P4" s="172"/>
      <c r="Q4" s="173"/>
      <c r="R4" s="167"/>
      <c r="S4" s="172"/>
      <c r="T4" s="173"/>
      <c r="U4" s="167"/>
      <c r="V4" s="172"/>
      <c r="W4" s="173"/>
      <c r="X4" s="167" t="s">
        <v>43</v>
      </c>
      <c r="Y4" s="172"/>
      <c r="Z4" s="173"/>
    </row>
    <row r="5" spans="2:27" ht="18" customHeight="1" x14ac:dyDescent="0.25">
      <c r="B5" s="175"/>
      <c r="C5" s="170" t="s">
        <v>100</v>
      </c>
      <c r="D5" s="159"/>
      <c r="E5" s="171"/>
      <c r="F5" s="170" t="s">
        <v>101</v>
      </c>
      <c r="G5" s="159"/>
      <c r="H5" s="171"/>
      <c r="I5" s="170" t="s">
        <v>102</v>
      </c>
      <c r="J5" s="159"/>
      <c r="K5" s="171"/>
      <c r="L5" s="170" t="s">
        <v>105</v>
      </c>
      <c r="M5" s="159"/>
      <c r="N5" s="171"/>
      <c r="O5" s="170" t="s">
        <v>31</v>
      </c>
      <c r="P5" s="159"/>
      <c r="Q5" s="171"/>
      <c r="R5" s="170" t="s">
        <v>57</v>
      </c>
      <c r="S5" s="159"/>
      <c r="T5" s="171"/>
      <c r="U5" s="170" t="s">
        <v>90</v>
      </c>
      <c r="V5" s="159"/>
      <c r="W5" s="171"/>
      <c r="X5" s="170"/>
      <c r="Y5" s="159"/>
      <c r="Z5" s="171"/>
    </row>
    <row r="6" spans="2:27" ht="18" customHeight="1" x14ac:dyDescent="0.25">
      <c r="B6" s="175"/>
      <c r="C6" s="125"/>
      <c r="D6" s="115"/>
      <c r="E6" s="126"/>
      <c r="F6" s="125"/>
      <c r="G6" s="115"/>
      <c r="H6" s="126"/>
      <c r="I6" s="125"/>
      <c r="J6" s="115"/>
      <c r="K6" s="126"/>
      <c r="L6" s="125"/>
      <c r="M6" s="115"/>
      <c r="N6" s="126"/>
      <c r="O6" s="125" t="str">
        <f>"'"&amp;O$5&amp;"'!$G:$G"</f>
        <v>'Dir E Gef'!$G:$G</v>
      </c>
      <c r="P6" s="115"/>
      <c r="Q6" s="126"/>
      <c r="R6" s="125" t="str">
        <f>"'"&amp;R$5&amp;"'!$G:$G"</f>
        <v>'Dir E WSP'!$G:$G</v>
      </c>
      <c r="S6" s="115"/>
      <c r="T6" s="126"/>
      <c r="U6" s="125" t="str">
        <f>"'"&amp;U$5&amp;"'!$G:$G"</f>
        <v>'Dir E ZOS'!$G:$G</v>
      </c>
      <c r="V6" s="115"/>
      <c r="W6" s="126"/>
      <c r="X6" s="125"/>
      <c r="Y6" s="115"/>
      <c r="Z6" s="126"/>
    </row>
    <row r="7" spans="2:27" ht="18" customHeight="1" x14ac:dyDescent="0.25">
      <c r="B7" s="175"/>
      <c r="C7" s="125"/>
      <c r="D7" s="115"/>
      <c r="E7" s="126"/>
      <c r="F7" s="125"/>
      <c r="G7" s="115"/>
      <c r="H7" s="126"/>
      <c r="I7" s="125"/>
      <c r="J7" s="115"/>
      <c r="K7" s="126"/>
      <c r="L7" s="125"/>
      <c r="M7" s="115"/>
      <c r="N7" s="126"/>
      <c r="O7" s="125" t="str">
        <f>"'"&amp;O$5&amp;"'!$T:$T"</f>
        <v>'Dir E Gef'!$T:$T</v>
      </c>
      <c r="P7" s="115" t="str">
        <f>"'"&amp;O$5&amp;"'!$AD:$AD"</f>
        <v>'Dir E Gef'!$AD:$AD</v>
      </c>
      <c r="Q7" s="126" t="str">
        <f>"'"&amp;O$5&amp;"'!$AN:$AN"</f>
        <v>'Dir E Gef'!$AN:$AN</v>
      </c>
      <c r="R7" s="125" t="str">
        <f>"'"&amp;R$5&amp;"'!$T:$T"</f>
        <v>'Dir E WSP'!$T:$T</v>
      </c>
      <c r="S7" s="115" t="str">
        <f>"'"&amp;R$5&amp;"'!$AD:$AD"</f>
        <v>'Dir E WSP'!$AD:$AD</v>
      </c>
      <c r="T7" s="126" t="str">
        <f>"'"&amp;R$5&amp;"'!$AN:$AN"</f>
        <v>'Dir E WSP'!$AN:$AN</v>
      </c>
      <c r="U7" s="125" t="str">
        <f>"'"&amp;U$5&amp;"'!$T:$T"</f>
        <v>'Dir E ZOS'!$T:$T</v>
      </c>
      <c r="V7" s="115" t="str">
        <f>"'"&amp;U$5&amp;"'!$AD:$AD"</f>
        <v>'Dir E ZOS'!$AD:$AD</v>
      </c>
      <c r="W7" s="126" t="str">
        <f>"'"&amp;U$5&amp;"'!$AN:$AN"</f>
        <v>'Dir E ZOS'!$AN:$AN</v>
      </c>
      <c r="X7" s="125"/>
      <c r="Y7" s="115"/>
      <c r="Z7" s="126"/>
    </row>
    <row r="8" spans="2:27" ht="18" customHeight="1" x14ac:dyDescent="0.25">
      <c r="B8" s="175"/>
      <c r="C8" s="125"/>
      <c r="D8" s="115"/>
      <c r="E8" s="126"/>
      <c r="F8" s="125"/>
      <c r="G8" s="115"/>
      <c r="H8" s="126"/>
      <c r="I8" s="125"/>
      <c r="J8" s="115"/>
      <c r="K8" s="126"/>
      <c r="L8" s="125"/>
      <c r="M8" s="115"/>
      <c r="N8" s="126"/>
      <c r="O8" s="125" t="str">
        <f>"'"&amp;O$5&amp;"'!$L:$L"</f>
        <v>'Dir E Gef'!$L:$L</v>
      </c>
      <c r="P8" s="115" t="str">
        <f>"'"&amp;O$5&amp;"'!$V:$V"</f>
        <v>'Dir E Gef'!$V:$V</v>
      </c>
      <c r="Q8" s="126" t="str">
        <f>"'"&amp;O$5&amp;"'!$AF:$AF"</f>
        <v>'Dir E Gef'!$AF:$AF</v>
      </c>
      <c r="R8" s="125" t="str">
        <f>"'"&amp;R$5&amp;"'!$L:$L"</f>
        <v>'Dir E WSP'!$L:$L</v>
      </c>
      <c r="S8" s="115" t="str">
        <f>"'"&amp;R$5&amp;"'!$V:$V"</f>
        <v>'Dir E WSP'!$V:$V</v>
      </c>
      <c r="T8" s="126" t="str">
        <f>"'"&amp;R$5&amp;"'!$AF:$AF"</f>
        <v>'Dir E WSP'!$AF:$AF</v>
      </c>
      <c r="U8" s="125" t="str">
        <f>"'"&amp;U$5&amp;"'!$L:$L"</f>
        <v>'Dir E ZOS'!$L:$L</v>
      </c>
      <c r="V8" s="115" t="str">
        <f>"'"&amp;U$5&amp;"'!$V:$V"</f>
        <v>'Dir E ZOS'!$V:$V</v>
      </c>
      <c r="W8" s="126" t="str">
        <f>"'"&amp;U$5&amp;"'!$AF:$AF"</f>
        <v>'Dir E ZOS'!$AF:$AF</v>
      </c>
      <c r="X8" s="125"/>
      <c r="Y8" s="115"/>
      <c r="Z8" s="126"/>
    </row>
    <row r="9" spans="2:27" ht="18" customHeight="1" x14ac:dyDescent="0.25">
      <c r="B9" s="175"/>
      <c r="C9" s="125"/>
      <c r="D9" s="115"/>
      <c r="E9" s="126"/>
      <c r="F9" s="125"/>
      <c r="G9" s="115"/>
      <c r="H9" s="126"/>
      <c r="I9" s="125"/>
      <c r="J9" s="115"/>
      <c r="K9" s="126"/>
      <c r="L9" s="125"/>
      <c r="M9" s="115"/>
      <c r="N9" s="126"/>
      <c r="O9" s="125"/>
      <c r="P9" s="115"/>
      <c r="Q9" s="126"/>
      <c r="R9" s="125"/>
      <c r="S9" s="115"/>
      <c r="T9" s="126"/>
      <c r="U9" s="125"/>
      <c r="V9" s="115"/>
      <c r="W9" s="126"/>
      <c r="X9" s="125"/>
      <c r="Y9" s="115"/>
      <c r="Z9" s="126"/>
    </row>
    <row r="10" spans="2:27" ht="18" customHeight="1" thickBot="1" x14ac:dyDescent="0.3">
      <c r="B10" s="176"/>
      <c r="C10" s="127" t="s">
        <v>24</v>
      </c>
      <c r="D10" s="128" t="s">
        <v>25</v>
      </c>
      <c r="E10" s="129" t="s">
        <v>26</v>
      </c>
      <c r="F10" s="127" t="s">
        <v>24</v>
      </c>
      <c r="G10" s="128" t="s">
        <v>25</v>
      </c>
      <c r="H10" s="129" t="s">
        <v>26</v>
      </c>
      <c r="I10" s="127" t="s">
        <v>24</v>
      </c>
      <c r="J10" s="128" t="s">
        <v>25</v>
      </c>
      <c r="K10" s="129" t="s">
        <v>26</v>
      </c>
      <c r="L10" s="127" t="s">
        <v>24</v>
      </c>
      <c r="M10" s="128" t="s">
        <v>25</v>
      </c>
      <c r="N10" s="129" t="s">
        <v>26</v>
      </c>
      <c r="O10" s="127" t="s">
        <v>24</v>
      </c>
      <c r="P10" s="128" t="s">
        <v>25</v>
      </c>
      <c r="Q10" s="129" t="s">
        <v>26</v>
      </c>
      <c r="R10" s="127" t="s">
        <v>24</v>
      </c>
      <c r="S10" s="128" t="s">
        <v>25</v>
      </c>
      <c r="T10" s="129" t="s">
        <v>26</v>
      </c>
      <c r="U10" s="127" t="s">
        <v>24</v>
      </c>
      <c r="V10" s="128" t="s">
        <v>25</v>
      </c>
      <c r="W10" s="129" t="s">
        <v>26</v>
      </c>
      <c r="X10" s="127" t="s">
        <v>24</v>
      </c>
      <c r="Y10" s="128" t="s">
        <v>25</v>
      </c>
      <c r="Z10" s="129" t="s">
        <v>26</v>
      </c>
    </row>
    <row r="11" spans="2:27" ht="18" customHeight="1" x14ac:dyDescent="0.25">
      <c r="B11" s="123" t="s">
        <v>103</v>
      </c>
      <c r="C11" s="54"/>
      <c r="D11" s="118"/>
      <c r="E11" s="119"/>
      <c r="F11" s="54"/>
      <c r="G11" s="118"/>
      <c r="H11" s="119"/>
      <c r="I11" s="54"/>
      <c r="J11" s="118"/>
      <c r="K11" s="119"/>
      <c r="L11" s="54"/>
      <c r="M11" s="118"/>
      <c r="N11" s="119"/>
      <c r="O11" s="54"/>
      <c r="P11" s="118"/>
      <c r="Q11" s="119"/>
      <c r="R11" s="54"/>
      <c r="S11" s="118"/>
      <c r="T11" s="119"/>
      <c r="U11" s="54"/>
      <c r="V11" s="118"/>
      <c r="W11" s="119"/>
      <c r="X11" s="54">
        <f t="shared" ref="X11:X15" si="0">SUM(+$C11+$F11+$I11+$L11+$O11+$R11+$U11)</f>
        <v>0</v>
      </c>
      <c r="Y11" s="118">
        <f t="shared" ref="Y11:Y15" si="1">SUM(+$D11+$G11+$J11+$M11+$P11+$S11+$V11)</f>
        <v>0</v>
      </c>
      <c r="Z11" s="119">
        <f t="shared" ref="Z11:Z15" si="2">SUM(+$E11+$H11+$K11+$N11+$Q11+$T11+$W11)</f>
        <v>0</v>
      </c>
    </row>
    <row r="12" spans="2:27" ht="18" customHeight="1" x14ac:dyDescent="0.25">
      <c r="B12" s="124" t="s">
        <v>104</v>
      </c>
      <c r="C12" s="51"/>
      <c r="D12" s="52"/>
      <c r="E12" s="53"/>
      <c r="F12" s="51"/>
      <c r="G12" s="52"/>
      <c r="H12" s="53"/>
      <c r="I12" s="51"/>
      <c r="J12" s="52"/>
      <c r="K12" s="53"/>
      <c r="L12" s="51"/>
      <c r="M12" s="52"/>
      <c r="N12" s="53"/>
      <c r="O12" s="51"/>
      <c r="P12" s="52"/>
      <c r="Q12" s="53"/>
      <c r="R12" s="51"/>
      <c r="S12" s="52"/>
      <c r="T12" s="53"/>
      <c r="U12" s="51"/>
      <c r="V12" s="52"/>
      <c r="W12" s="53"/>
      <c r="X12" s="51">
        <f t="shared" si="0"/>
        <v>0</v>
      </c>
      <c r="Y12" s="52">
        <f t="shared" si="1"/>
        <v>0</v>
      </c>
      <c r="Z12" s="53">
        <f t="shared" si="2"/>
        <v>0</v>
      </c>
    </row>
    <row r="13" spans="2:27" ht="18" customHeight="1" x14ac:dyDescent="0.25">
      <c r="B13" s="124" t="s">
        <v>45</v>
      </c>
      <c r="C13" s="51">
        <f t="shared" ref="C13:C15" ca="1" si="3">IF(C$6="",0,COUNTIFS(INDIRECT(C$6),C$10,INDIRECT(C$7),$B13,INDIRECT(C$8),"&gt;="&amp;$C$2&amp;"",INDIRECT(C$8),"&lt;="&amp;$F$2&amp;"")+COUNTIFS(INDIRECT(C$6),C$10,INDIRECT(D$7),$B13,INDIRECT(D$8),"&gt;="&amp;$C$2&amp;"",INDIRECT(D$8),"&lt;="&amp;$F$2&amp;"")+COUNTIFS(INDIRECT(C$6),C$10,INDIRECT(E$7),$B13,INDIRECT(E$8),"&gt;="&amp;$C$2&amp;"",INDIRECT(E$8),"&lt;="&amp;$F$2&amp;""))</f>
        <v>0</v>
      </c>
      <c r="D13" s="52">
        <f t="shared" ref="D13:D15" ca="1" si="4">IF(C$6="",0,COUNTIFS(INDIRECT(C$6),D$10,INDIRECT(C$7),$B13,INDIRECT(C$8),"&gt;="&amp;$C$2&amp;"",INDIRECT(C$8),"&lt;="&amp;$F$2&amp;"")+COUNTIFS(INDIRECT(C$6),D$10,INDIRECT(D$7),$B13,INDIRECT(D$8),"&gt;="&amp;$C$2&amp;"",INDIRECT(D$8),"&lt;="&amp;$F$2&amp;"")+COUNTIFS(INDIRECT(C$6),D$10,INDIRECT(E$7),$B13,INDIRECT(E$8),"&gt;="&amp;$C$2&amp;"",INDIRECT(E$8),"&lt;="&amp;$F$2&amp;""))</f>
        <v>0</v>
      </c>
      <c r="E13" s="53">
        <f t="shared" ref="E13:E15" ca="1" si="5">IF(C$6="",0,COUNTIFS(INDIRECT(C$6),E$10,INDIRECT(C$7),$B13,INDIRECT(C$8),"&gt;="&amp;$C$2&amp;"",INDIRECT(C$8),"&lt;="&amp;$F$2&amp;"")+COUNTIFS(INDIRECT(C$6),E$10,INDIRECT(D$7),$B13,INDIRECT(D$8),"&gt;="&amp;$C$2&amp;"",INDIRECT(D$8),"&lt;="&amp;$F$2&amp;"")+COUNTIFS(INDIRECT(C$6),E$10,INDIRECT(E$7),$B13,INDIRECT(E$8),"&gt;="&amp;$C$2&amp;"",INDIRECT(E$8),"&lt;="&amp;$F$2&amp;""))</f>
        <v>0</v>
      </c>
      <c r="F13" s="51">
        <f ca="1">IF(F$6="",0,COUNTIFS(INDIRECT(F$6),F$10,INDIRECT(F$7),$B13,INDIRECT(F$8),"&gt;="&amp;$C$2&amp;"",INDIRECT(F$8),"&lt;="&amp;$F$2&amp;"")+COUNTIFS(INDIRECT(F$6),F$10,INDIRECT(G$7),$B13,INDIRECT(G$8),"&gt;="&amp;$C$2&amp;"",INDIRECT(G$8),"&lt;="&amp;$F$2&amp;"")+COUNTIFS(INDIRECT(F$6),F$10,INDIRECT(H$7),$B13,INDIRECT(H$8),"&gt;="&amp;$C$2&amp;"",INDIRECT(H$8),"&lt;="&amp;$F$2&amp;""))</f>
        <v>0</v>
      </c>
      <c r="G13" s="52">
        <f t="shared" ref="G13:G15" ca="1" si="6">IF(F$6="",0,COUNTIFS(INDIRECT(F$6),G$10,INDIRECT(F$7),$B13,INDIRECT(F$8),"&gt;="&amp;$C$2&amp;"",INDIRECT(F$8),"&lt;="&amp;$F$2&amp;"")+COUNTIFS(INDIRECT(F$6),G$10,INDIRECT(G$7),$B13,INDIRECT(G$8),"&gt;="&amp;$C$2&amp;"",INDIRECT(G$8),"&lt;="&amp;$F$2&amp;"")+COUNTIFS(INDIRECT(F$6),G$10,INDIRECT(H$7),$B13,INDIRECT(H$8),"&gt;="&amp;$C$2&amp;"",INDIRECT(H$8),"&lt;="&amp;$F$2&amp;""))</f>
        <v>0</v>
      </c>
      <c r="H13" s="53">
        <f t="shared" ref="H13:H15" ca="1" si="7">IF(F$6="",0,COUNTIFS(INDIRECT(F$6),H$10,INDIRECT(F$7),$B13,INDIRECT(F$8),"&gt;="&amp;$C$2&amp;"",INDIRECT(F$8),"&lt;="&amp;$F$2&amp;"")+COUNTIFS(INDIRECT(F$6),H$10,INDIRECT(G$7),$B13,INDIRECT(G$8),"&gt;="&amp;$C$2&amp;"",INDIRECT(G$8),"&lt;="&amp;$F$2&amp;"")+COUNTIFS(INDIRECT(F$6),H$10,INDIRECT(H$7),$B13,INDIRECT(H$8),"&gt;="&amp;$C$2&amp;"",INDIRECT(H$8),"&lt;="&amp;$F$2&amp;""))</f>
        <v>0</v>
      </c>
      <c r="I13" s="51">
        <f t="shared" ref="I13:I15" ca="1" si="8">IF(I$6="",0,COUNTIFS(INDIRECT(I$6),I$10,INDIRECT(I$7),$B13,INDIRECT(I$8),"&gt;="&amp;$C$2&amp;"",INDIRECT(I$8),"&lt;="&amp;$F$2&amp;"")+COUNTIFS(INDIRECT(I$6),I$10,INDIRECT(J$7),$B13,INDIRECT(J$8),"&gt;="&amp;$C$2&amp;"",INDIRECT(J$8),"&lt;="&amp;$F$2&amp;"")+COUNTIFS(INDIRECT(I$6),I$10,INDIRECT(K$7),$B13,INDIRECT(K$8),"&gt;="&amp;$C$2&amp;"",INDIRECT(K$8),"&lt;="&amp;$F$2&amp;""))</f>
        <v>0</v>
      </c>
      <c r="J13" s="52">
        <f t="shared" ref="J13:J15" ca="1" si="9">IF(I$6="",0,COUNTIFS(INDIRECT(I$6),J$10,INDIRECT(I$7),$B13,INDIRECT(I$8),"&gt;="&amp;$C$2&amp;"",INDIRECT(I$8),"&lt;="&amp;$F$2&amp;"")+COUNTIFS(INDIRECT(I$6),J$10,INDIRECT(J$7),$B13,INDIRECT(J$8),"&gt;="&amp;$C$2&amp;"",INDIRECT(J$8),"&lt;="&amp;$F$2&amp;"")+COUNTIFS(INDIRECT(I$6),J$10,INDIRECT(K$7),$B13,INDIRECT(K$8),"&gt;="&amp;$C$2&amp;"",INDIRECT(K$8),"&lt;="&amp;$F$2&amp;""))</f>
        <v>0</v>
      </c>
      <c r="K13" s="53">
        <f t="shared" ref="K13:K15" ca="1" si="10">IF(I$6="",0,COUNTIFS(INDIRECT(I$6),K$10,INDIRECT(I$7),$B13,INDIRECT(I$8),"&gt;="&amp;$C$2&amp;"",INDIRECT(I$8),"&lt;="&amp;$F$2&amp;"")+COUNTIFS(INDIRECT(I$6),K$10,INDIRECT(J$7),$B13,INDIRECT(J$8),"&gt;="&amp;$C$2&amp;"",INDIRECT(J$8),"&lt;="&amp;$F$2&amp;"")+COUNTIFS(INDIRECT(I$6),K$10,INDIRECT(K$7),$B13,INDIRECT(K$8),"&gt;="&amp;$C$2&amp;"",INDIRECT(K$8),"&lt;="&amp;$F$2&amp;""))</f>
        <v>0</v>
      </c>
      <c r="L13" s="51">
        <f t="shared" ref="L13:L15" ca="1" si="11">IF(L$6="",0,COUNTIFS(INDIRECT(L$6),L$10,INDIRECT(L$7),$B13,INDIRECT(L$8),"&gt;="&amp;$C$2&amp;"",INDIRECT(L$8),"&lt;="&amp;$F$2&amp;"")+COUNTIFS(INDIRECT(L$6),L$10,INDIRECT(M$7),$B13,INDIRECT(M$8),"&gt;="&amp;$C$2&amp;"",INDIRECT(M$8),"&lt;="&amp;$F$2&amp;"")+COUNTIFS(INDIRECT(L$6),L$10,INDIRECT(N$7),$B13,INDIRECT(N$8),"&gt;="&amp;$C$2&amp;"",INDIRECT(N$8),"&lt;="&amp;$F$2&amp;""))</f>
        <v>0</v>
      </c>
      <c r="M13" s="52">
        <f t="shared" ref="M13:M15" ca="1" si="12">IF(L$6="",0,COUNTIFS(INDIRECT(L$6),M$10,INDIRECT(L$7),$B13,INDIRECT(L$8),"&gt;="&amp;$C$2&amp;"",INDIRECT(L$8),"&lt;="&amp;$F$2&amp;"")+COUNTIFS(INDIRECT(L$6),M$10,INDIRECT(M$7),$B13,INDIRECT(M$8),"&gt;="&amp;$C$2&amp;"",INDIRECT(M$8),"&lt;="&amp;$F$2&amp;"")+COUNTIFS(INDIRECT(L$6),M$10,INDIRECT(N$7),$B13,INDIRECT(N$8),"&gt;="&amp;$C$2&amp;"",INDIRECT(N$8),"&lt;="&amp;$F$2&amp;""))</f>
        <v>0</v>
      </c>
      <c r="N13" s="53">
        <f t="shared" ref="N13:N15" ca="1" si="13">IF(L$6="",0,COUNTIFS(INDIRECT(L$6),N$10,INDIRECT(L$7),$B13,INDIRECT(L$8),"&gt;="&amp;$C$2&amp;"",INDIRECT(L$8),"&lt;="&amp;$F$2&amp;"")+COUNTIFS(INDIRECT(L$6),N$10,INDIRECT(M$7),$B13,INDIRECT(M$8),"&gt;="&amp;$C$2&amp;"",INDIRECT(M$8),"&lt;="&amp;$F$2&amp;"")+COUNTIFS(INDIRECT(L$6),N$10,INDIRECT(N$7),$B13,INDIRECT(N$8),"&gt;="&amp;$C$2&amp;"",INDIRECT(N$8),"&lt;="&amp;$F$2&amp;""))</f>
        <v>0</v>
      </c>
      <c r="O13" s="51">
        <f ca="1">IF(O$6="",0,COUNTIFS(INDIRECT(O$6),O$10,INDIRECT(O$7),$B13,INDIRECT(O$8),"&gt;="&amp;$C$2&amp;"",INDIRECT(O$8),"&lt;="&amp;$F$2&amp;"")+COUNTIFS(INDIRECT(O$6),O$10,INDIRECT(P$7),$B13,INDIRECT(P$8),"&gt;="&amp;$C$2&amp;"",INDIRECT(P$8),"&lt;="&amp;$F$2&amp;"")+COUNTIFS(INDIRECT(O$6),O$10,INDIRECT(Q$7),$B13,INDIRECT(Q$8),"&gt;="&amp;$C$2&amp;"",INDIRECT(Q$8),"&lt;="&amp;$F$2&amp;""))</f>
        <v>0</v>
      </c>
      <c r="P13" s="52">
        <f t="shared" ref="P13:P15" ca="1" si="14">IF(O$6="",0,COUNTIFS(INDIRECT(O$6),P$10,INDIRECT(O$7),$B13,INDIRECT(O$8),"&gt;="&amp;$C$2&amp;"",INDIRECT(O$8),"&lt;="&amp;$F$2&amp;"")+COUNTIFS(INDIRECT(O$6),P$10,INDIRECT(P$7),$B13,INDIRECT(P$8),"&gt;="&amp;$C$2&amp;"",INDIRECT(P$8),"&lt;="&amp;$F$2&amp;"")+COUNTIFS(INDIRECT(O$6),P$10,INDIRECT(Q$7),$B13,INDIRECT(Q$8),"&gt;="&amp;$C$2&amp;"",INDIRECT(Q$8),"&lt;="&amp;$F$2&amp;""))</f>
        <v>0</v>
      </c>
      <c r="Q13" s="53">
        <f t="shared" ref="Q13:Q15" ca="1" si="15">IF(O$6="",0,COUNTIFS(INDIRECT(O$6),Q$10,INDIRECT(O$7),$B13,INDIRECT(O$8),"&gt;="&amp;$C$2&amp;"",INDIRECT(O$8),"&lt;="&amp;$F$2&amp;"")+COUNTIFS(INDIRECT(O$6),Q$10,INDIRECT(P$7),$B13,INDIRECT(P$8),"&gt;="&amp;$C$2&amp;"",INDIRECT(P$8),"&lt;="&amp;$F$2&amp;"")+COUNTIFS(INDIRECT(O$6),Q$10,INDIRECT(Q$7),$B13,INDIRECT(Q$8),"&gt;="&amp;$C$2&amp;"",INDIRECT(Q$8),"&lt;="&amp;$F$2&amp;""))</f>
        <v>1</v>
      </c>
      <c r="R13" s="51">
        <f t="shared" ref="R13:R15" ca="1" si="16">IF(R$6="",0,COUNTIFS(INDIRECT(R$6),R$10,INDIRECT(R$7),$B13,INDIRECT(R$8),"&gt;="&amp;$C$2&amp;"",INDIRECT(R$8),"&lt;="&amp;$F$2&amp;"")+COUNTIFS(INDIRECT(R$6),R$10,INDIRECT(S$7),$B13,INDIRECT(S$8),"&gt;="&amp;$C$2&amp;"",INDIRECT(S$8),"&lt;="&amp;$F$2&amp;"")+COUNTIFS(INDIRECT(R$6),R$10,INDIRECT(T$7),$B13,INDIRECT(T$8),"&gt;="&amp;$C$2&amp;"",INDIRECT(T$8),"&lt;="&amp;$F$2&amp;""))</f>
        <v>0</v>
      </c>
      <c r="S13" s="52">
        <f t="shared" ref="S13:S15" ca="1" si="17">IF(R$6="",0,COUNTIFS(INDIRECT(R$6),S$10,INDIRECT(R$7),$B13,INDIRECT(R$8),"&gt;="&amp;$C$2&amp;"",INDIRECT(R$8),"&lt;="&amp;$F$2&amp;"")+COUNTIFS(INDIRECT(R$6),S$10,INDIRECT(S$7),$B13,INDIRECT(S$8),"&gt;="&amp;$C$2&amp;"",INDIRECT(S$8),"&lt;="&amp;$F$2&amp;"")+COUNTIFS(INDIRECT(R$6),S$10,INDIRECT(T$7),$B13,INDIRECT(T$8),"&gt;="&amp;$C$2&amp;"",INDIRECT(T$8),"&lt;="&amp;$F$2&amp;""))</f>
        <v>0</v>
      </c>
      <c r="T13" s="53">
        <f t="shared" ref="T13:T15" ca="1" si="18">IF(R$6="",0,COUNTIFS(INDIRECT(R$6),T$10,INDIRECT(R$7),$B13,INDIRECT(R$8),"&gt;="&amp;$C$2&amp;"",INDIRECT(R$8),"&lt;="&amp;$F$2&amp;"")+COUNTIFS(INDIRECT(R$6),T$10,INDIRECT(S$7),$B13,INDIRECT(S$8),"&gt;="&amp;$C$2&amp;"",INDIRECT(S$8),"&lt;="&amp;$F$2&amp;"")+COUNTIFS(INDIRECT(R$6),T$10,INDIRECT(T$7),$B13,INDIRECT(T$8),"&gt;="&amp;$C$2&amp;"",INDIRECT(T$8),"&lt;="&amp;$F$2&amp;""))</f>
        <v>0</v>
      </c>
      <c r="U13" s="51">
        <f t="shared" ref="U13:U15" ca="1" si="19">IF(U$6="",0,COUNTIFS(INDIRECT(U$6),U$10,INDIRECT(U$7),$B13,INDIRECT(U$8),"&gt;="&amp;$C$2&amp;"",INDIRECT(U$8),"&lt;="&amp;$F$2&amp;"")+COUNTIFS(INDIRECT(U$6),U$10,INDIRECT(V$7),$B13,INDIRECT(V$8),"&gt;="&amp;$C$2&amp;"",INDIRECT(V$8),"&lt;="&amp;$F$2&amp;"")+COUNTIFS(INDIRECT(U$6),U$10,INDIRECT(W$7),$B13,INDIRECT(W$8),"&gt;="&amp;$C$2&amp;"",INDIRECT(W$8),"&lt;="&amp;$F$2&amp;""))</f>
        <v>0</v>
      </c>
      <c r="V13" s="52">
        <f t="shared" ref="V13:V15" ca="1" si="20">IF(U$6="",0,COUNTIFS(INDIRECT(U$6),V$10,INDIRECT(U$7),$B13,INDIRECT(U$8),"&gt;="&amp;$C$2&amp;"",INDIRECT(U$8),"&lt;="&amp;$F$2&amp;"")+COUNTIFS(INDIRECT(U$6),V$10,INDIRECT(V$7),$B13,INDIRECT(V$8),"&gt;="&amp;$C$2&amp;"",INDIRECT(V$8),"&lt;="&amp;$F$2&amp;"")+COUNTIFS(INDIRECT(U$6),V$10,INDIRECT(W$7),$B13,INDIRECT(W$8),"&gt;="&amp;$C$2&amp;"",INDIRECT(W$8),"&lt;="&amp;$F$2&amp;""))</f>
        <v>0</v>
      </c>
      <c r="W13" s="53">
        <f t="shared" ref="W13:W15" ca="1" si="21">IF(U$6="",0,COUNTIFS(INDIRECT(U$6),W$10,INDIRECT(U$7),$B13,INDIRECT(U$8),"&gt;="&amp;$C$2&amp;"",INDIRECT(U$8),"&lt;="&amp;$F$2&amp;"")+COUNTIFS(INDIRECT(U$6),W$10,INDIRECT(V$7),$B13,INDIRECT(V$8),"&gt;="&amp;$C$2&amp;"",INDIRECT(V$8),"&lt;="&amp;$F$2&amp;"")+COUNTIFS(INDIRECT(U$6),W$10,INDIRECT(W$7),$B13,INDIRECT(W$8),"&gt;="&amp;$C$2&amp;"",INDIRECT(W$8),"&lt;="&amp;$F$2&amp;""))</f>
        <v>0</v>
      </c>
      <c r="X13" s="51">
        <f t="shared" ca="1" si="0"/>
        <v>0</v>
      </c>
      <c r="Y13" s="52">
        <f t="shared" ca="1" si="1"/>
        <v>0</v>
      </c>
      <c r="Z13" s="53">
        <f t="shared" ca="1" si="2"/>
        <v>1</v>
      </c>
    </row>
    <row r="14" spans="2:27" ht="18" customHeight="1" x14ac:dyDescent="0.25">
      <c r="B14" s="124" t="s">
        <v>32</v>
      </c>
      <c r="C14" s="51">
        <f t="shared" ca="1" si="3"/>
        <v>0</v>
      </c>
      <c r="D14" s="52">
        <f t="shared" ca="1" si="4"/>
        <v>0</v>
      </c>
      <c r="E14" s="53">
        <f t="shared" ca="1" si="5"/>
        <v>0</v>
      </c>
      <c r="F14" s="51">
        <f t="shared" ref="F14:F15" ca="1" si="22">IF(F$6="",0,COUNTIFS(INDIRECT(F$6),F$10,INDIRECT(F$7),$B14,INDIRECT(F$8),"&gt;="&amp;$C$2&amp;"",INDIRECT(F$8),"&lt;="&amp;$F$2&amp;"")+COUNTIFS(INDIRECT(F$6),F$10,INDIRECT(G$7),$B14,INDIRECT(G$8),"&gt;="&amp;$C$2&amp;"",INDIRECT(G$8),"&lt;="&amp;$F$2&amp;"")+COUNTIFS(INDIRECT(F$6),F$10,INDIRECT(H$7),$B14,INDIRECT(H$8),"&gt;="&amp;$C$2&amp;"",INDIRECT(H$8),"&lt;="&amp;$F$2&amp;""))</f>
        <v>0</v>
      </c>
      <c r="G14" s="52">
        <f t="shared" ca="1" si="6"/>
        <v>0</v>
      </c>
      <c r="H14" s="53">
        <f t="shared" ca="1" si="7"/>
        <v>0</v>
      </c>
      <c r="I14" s="51">
        <f t="shared" ca="1" si="8"/>
        <v>0</v>
      </c>
      <c r="J14" s="52">
        <f t="shared" ca="1" si="9"/>
        <v>0</v>
      </c>
      <c r="K14" s="53">
        <f t="shared" ca="1" si="10"/>
        <v>0</v>
      </c>
      <c r="L14" s="51">
        <f t="shared" ca="1" si="11"/>
        <v>0</v>
      </c>
      <c r="M14" s="52">
        <f t="shared" ca="1" si="12"/>
        <v>0</v>
      </c>
      <c r="N14" s="53">
        <f t="shared" ca="1" si="13"/>
        <v>0</v>
      </c>
      <c r="O14" s="51">
        <f t="shared" ref="O14:O15" ca="1" si="23">IF(O$6="",0,COUNTIFS(INDIRECT(O$6),O$10,INDIRECT(O$7),$B14,INDIRECT(O$8),"&gt;="&amp;$C$2&amp;"",INDIRECT(O$8),"&lt;="&amp;$F$2&amp;"")+COUNTIFS(INDIRECT(O$6),O$10,INDIRECT(P$7),$B14,INDIRECT(P$8),"&gt;="&amp;$C$2&amp;"",INDIRECT(P$8),"&lt;="&amp;$F$2&amp;"")+COUNTIFS(INDIRECT(O$6),O$10,INDIRECT(Q$7),$B14,INDIRECT(Q$8),"&gt;="&amp;$C$2&amp;"",INDIRECT(Q$8),"&lt;="&amp;$F$2&amp;""))</f>
        <v>0</v>
      </c>
      <c r="P14" s="52">
        <f t="shared" ca="1" si="14"/>
        <v>0</v>
      </c>
      <c r="Q14" s="53">
        <f t="shared" ca="1" si="15"/>
        <v>1</v>
      </c>
      <c r="R14" s="51">
        <f t="shared" ca="1" si="16"/>
        <v>0</v>
      </c>
      <c r="S14" s="52">
        <f t="shared" ca="1" si="17"/>
        <v>0</v>
      </c>
      <c r="T14" s="53">
        <f t="shared" ca="1" si="18"/>
        <v>0</v>
      </c>
      <c r="U14" s="51">
        <f t="shared" ca="1" si="19"/>
        <v>0</v>
      </c>
      <c r="V14" s="52">
        <f t="shared" ca="1" si="20"/>
        <v>0</v>
      </c>
      <c r="W14" s="53">
        <f t="shared" ca="1" si="21"/>
        <v>0</v>
      </c>
      <c r="X14" s="51">
        <f t="shared" ca="1" si="0"/>
        <v>0</v>
      </c>
      <c r="Y14" s="52">
        <f t="shared" ca="1" si="1"/>
        <v>0</v>
      </c>
      <c r="Z14" s="53">
        <f t="shared" ca="1" si="2"/>
        <v>1</v>
      </c>
    </row>
    <row r="15" spans="2:27" ht="18" customHeight="1" thickBot="1" x14ac:dyDescent="0.3">
      <c r="B15" s="124" t="s">
        <v>53</v>
      </c>
      <c r="C15" s="120">
        <f t="shared" ca="1" si="3"/>
        <v>0</v>
      </c>
      <c r="D15" s="121">
        <f t="shared" ca="1" si="4"/>
        <v>0</v>
      </c>
      <c r="E15" s="122">
        <f t="shared" ca="1" si="5"/>
        <v>0</v>
      </c>
      <c r="F15" s="120">
        <f t="shared" ca="1" si="22"/>
        <v>0</v>
      </c>
      <c r="G15" s="121">
        <f t="shared" ca="1" si="6"/>
        <v>0</v>
      </c>
      <c r="H15" s="122">
        <f t="shared" ca="1" si="7"/>
        <v>0</v>
      </c>
      <c r="I15" s="120">
        <f t="shared" ca="1" si="8"/>
        <v>0</v>
      </c>
      <c r="J15" s="121">
        <f t="shared" ca="1" si="9"/>
        <v>0</v>
      </c>
      <c r="K15" s="122">
        <f t="shared" ca="1" si="10"/>
        <v>0</v>
      </c>
      <c r="L15" s="120">
        <f t="shared" ca="1" si="11"/>
        <v>0</v>
      </c>
      <c r="M15" s="121">
        <f t="shared" ca="1" si="12"/>
        <v>0</v>
      </c>
      <c r="N15" s="122">
        <f t="shared" ca="1" si="13"/>
        <v>0</v>
      </c>
      <c r="O15" s="120">
        <f t="shared" ca="1" si="23"/>
        <v>0</v>
      </c>
      <c r="P15" s="121">
        <f t="shared" ca="1" si="14"/>
        <v>0</v>
      </c>
      <c r="Q15" s="122">
        <f t="shared" ca="1" si="15"/>
        <v>0</v>
      </c>
      <c r="R15" s="120">
        <f t="shared" ca="1" si="16"/>
        <v>0</v>
      </c>
      <c r="S15" s="121">
        <f t="shared" ca="1" si="17"/>
        <v>0</v>
      </c>
      <c r="T15" s="122">
        <f t="shared" ca="1" si="18"/>
        <v>0</v>
      </c>
      <c r="U15" s="120">
        <f t="shared" ca="1" si="19"/>
        <v>0</v>
      </c>
      <c r="V15" s="121">
        <f t="shared" ca="1" si="20"/>
        <v>0</v>
      </c>
      <c r="W15" s="122">
        <f t="shared" ca="1" si="21"/>
        <v>0</v>
      </c>
      <c r="X15" s="120">
        <f t="shared" ca="1" si="0"/>
        <v>0</v>
      </c>
      <c r="Y15" s="121">
        <f t="shared" ca="1" si="1"/>
        <v>0</v>
      </c>
      <c r="Z15" s="122">
        <f t="shared" ca="1" si="2"/>
        <v>0</v>
      </c>
    </row>
    <row r="16" spans="2:27" ht="18" customHeight="1" thickTop="1" thickBot="1" x14ac:dyDescent="0.3">
      <c r="B16" s="130" t="s">
        <v>106</v>
      </c>
      <c r="C16" s="131">
        <f t="shared" ref="C16:AA16" ca="1" si="24">SUM(C13:C15)</f>
        <v>0</v>
      </c>
      <c r="D16" s="132">
        <f t="shared" ca="1" si="24"/>
        <v>0</v>
      </c>
      <c r="E16" s="133">
        <f t="shared" ca="1" si="24"/>
        <v>0</v>
      </c>
      <c r="F16" s="131">
        <f t="shared" ca="1" si="24"/>
        <v>0</v>
      </c>
      <c r="G16" s="132">
        <f t="shared" ca="1" si="24"/>
        <v>0</v>
      </c>
      <c r="H16" s="133">
        <f t="shared" ca="1" si="24"/>
        <v>0</v>
      </c>
      <c r="I16" s="131">
        <f t="shared" ca="1" si="24"/>
        <v>0</v>
      </c>
      <c r="J16" s="132">
        <f t="shared" ca="1" si="24"/>
        <v>0</v>
      </c>
      <c r="K16" s="133">
        <f t="shared" ca="1" si="24"/>
        <v>0</v>
      </c>
      <c r="L16" s="131">
        <f t="shared" ca="1" si="24"/>
        <v>0</v>
      </c>
      <c r="M16" s="132">
        <f t="shared" ca="1" si="24"/>
        <v>0</v>
      </c>
      <c r="N16" s="133">
        <f t="shared" ca="1" si="24"/>
        <v>0</v>
      </c>
      <c r="O16" s="131">
        <f t="shared" ca="1" si="24"/>
        <v>0</v>
      </c>
      <c r="P16" s="132">
        <f t="shared" ca="1" si="24"/>
        <v>0</v>
      </c>
      <c r="Q16" s="133">
        <f t="shared" ca="1" si="24"/>
        <v>2</v>
      </c>
      <c r="R16" s="131">
        <f t="shared" ca="1" si="24"/>
        <v>0</v>
      </c>
      <c r="S16" s="132">
        <f t="shared" ca="1" si="24"/>
        <v>0</v>
      </c>
      <c r="T16" s="133">
        <f t="shared" ca="1" si="24"/>
        <v>0</v>
      </c>
      <c r="U16" s="131">
        <f t="shared" ca="1" si="24"/>
        <v>0</v>
      </c>
      <c r="V16" s="132">
        <f t="shared" ca="1" si="24"/>
        <v>0</v>
      </c>
      <c r="W16" s="133">
        <f t="shared" ca="1" si="24"/>
        <v>0</v>
      </c>
      <c r="X16" s="131">
        <f t="shared" ca="1" si="24"/>
        <v>0</v>
      </c>
      <c r="Y16" s="132">
        <f t="shared" ca="1" si="24"/>
        <v>0</v>
      </c>
      <c r="Z16" s="133">
        <f t="shared" ca="1" si="24"/>
        <v>2</v>
      </c>
      <c r="AA16" s="134">
        <f t="shared" si="24"/>
        <v>0</v>
      </c>
    </row>
    <row r="17" ht="5.0999999999999996" customHeight="1" x14ac:dyDescent="0.25"/>
  </sheetData>
  <sheetProtection selectLockedCells="1"/>
  <mergeCells count="13">
    <mergeCell ref="B4:B10"/>
    <mergeCell ref="C2:D2"/>
    <mergeCell ref="F2:G2"/>
    <mergeCell ref="C4:N4"/>
    <mergeCell ref="C5:E5"/>
    <mergeCell ref="F5:H5"/>
    <mergeCell ref="I5:K5"/>
    <mergeCell ref="L5:N5"/>
    <mergeCell ref="O5:Q5"/>
    <mergeCell ref="R5:T5"/>
    <mergeCell ref="U5:W5"/>
    <mergeCell ref="O4:W4"/>
    <mergeCell ref="X4:Z5"/>
  </mergeCell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9"/>
  <dimension ref="B1:AN12"/>
  <sheetViews>
    <sheetView workbookViewId="0">
      <pane xSplit="9" ySplit="8" topLeftCell="J9" activePane="bottomRight" state="frozen"/>
      <selection pane="topRight" activeCell="J1" sqref="J1"/>
      <selection pane="bottomLeft" activeCell="A9" sqref="A9"/>
      <selection pane="bottomRight" activeCell="L10" sqref="L10"/>
    </sheetView>
  </sheetViews>
  <sheetFormatPr baseColWidth="10" defaultRowHeight="15" customHeight="1" x14ac:dyDescent="0.25"/>
  <cols>
    <col min="1" max="1" width="0.85546875" style="55" customWidth="1"/>
    <col min="2" max="2" width="7.7109375" style="55" customWidth="1"/>
    <col min="3" max="3" width="11.42578125" style="55"/>
    <col min="4" max="6" width="17.7109375" style="55" customWidth="1"/>
    <col min="7" max="9" width="7.7109375" style="55" customWidth="1"/>
    <col min="10" max="10" width="20.7109375" style="55" customWidth="1"/>
    <col min="11" max="11" width="0.85546875" style="55" customWidth="1"/>
    <col min="12" max="20" width="11.42578125" style="55"/>
    <col min="21" max="21" width="0.85546875" style="55" customWidth="1"/>
    <col min="22" max="30" width="11.42578125" style="55"/>
    <col min="31" max="31" width="0.85546875" style="55" customWidth="1"/>
    <col min="32" max="40" width="11.42578125" style="55"/>
    <col min="41" max="41" width="0.85546875" style="55" customWidth="1"/>
    <col min="42" max="16384" width="11.42578125" style="55"/>
  </cols>
  <sheetData>
    <row r="1" spans="2:40" ht="15" customHeight="1" x14ac:dyDescent="0.25">
      <c r="B1" s="185" t="s">
        <v>31</v>
      </c>
      <c r="C1" s="186"/>
      <c r="D1" s="191" t="s">
        <v>58</v>
      </c>
      <c r="E1" s="179"/>
      <c r="F1" s="179"/>
      <c r="G1" s="179"/>
      <c r="H1" s="179"/>
      <c r="I1" s="179"/>
      <c r="J1" s="180"/>
    </row>
    <row r="2" spans="2:40" ht="15" customHeight="1" x14ac:dyDescent="0.25">
      <c r="B2" s="187"/>
      <c r="C2" s="188"/>
      <c r="D2" s="181"/>
      <c r="E2" s="182"/>
      <c r="F2" s="182"/>
      <c r="G2" s="182"/>
      <c r="H2" s="182"/>
      <c r="I2" s="182"/>
      <c r="J2" s="184"/>
    </row>
    <row r="3" spans="2:40" ht="15" customHeight="1" x14ac:dyDescent="0.25">
      <c r="B3" s="187"/>
      <c r="C3" s="188"/>
      <c r="D3" s="94" t="s">
        <v>24</v>
      </c>
      <c r="E3" s="94" t="s">
        <v>25</v>
      </c>
      <c r="F3" s="94" t="s">
        <v>26</v>
      </c>
      <c r="G3" s="94" t="s">
        <v>23</v>
      </c>
      <c r="H3" s="94" t="s">
        <v>114</v>
      </c>
      <c r="I3" s="94" t="s">
        <v>115</v>
      </c>
      <c r="J3" s="95" t="s">
        <v>60</v>
      </c>
    </row>
    <row r="4" spans="2:40" ht="15" customHeight="1" thickBot="1" x14ac:dyDescent="0.3">
      <c r="B4" s="189"/>
      <c r="C4" s="190"/>
      <c r="D4" s="92">
        <f ca="1">COUNTIF(INDIRECT(ADDRESS(9,MATCH("ZG",$8:$8,0))&amp;":"&amp;ADDRESS(COUNT($B:$B)+8,MATCH("ZG",$8:$8,0))),"ZG 1")</f>
        <v>0</v>
      </c>
      <c r="E4" s="92">
        <f ca="1">COUNTIF(INDIRECT(ADDRESS(9,MATCH("ZG",$8:$8,0))&amp;":"&amp;ADDRESS(COUNT($B:$B)+8,MATCH("ZG",$8:$8,0))),"ZG 2")</f>
        <v>0</v>
      </c>
      <c r="F4" s="92">
        <f ca="1">COUNTIF(INDIRECT(ADDRESS(9,MATCH("ZG",$8:$8,0))&amp;":"&amp;ADDRESS(COUNT($B:$B)+8,MATCH("ZG",$8:$8,0))),"ZG 3")</f>
        <v>3</v>
      </c>
      <c r="G4" s="92"/>
      <c r="H4" s="92">
        <f ca="1">COUNTIF(INDIRECT(ADDRESS(9,MATCH("Laserschütze",$8:$8,0))&amp;":"&amp;ADDRESS(COUNT($B:$B)+8,MATCH("Laserschütze",$8:$8,0))),"ja")</f>
        <v>1</v>
      </c>
      <c r="I4" s="92">
        <f ca="1">COUNTIF(INDIRECT(ADDRESS(9,MATCH("Hörschutz",$8:$8,0))&amp;":"&amp;ADDRESS(COUNT($B:$B)+8,MATCH("Hörschutz",$8:$8,0))),"ja")</f>
        <v>1</v>
      </c>
      <c r="J4" s="93">
        <f>MAX($B:$B)</f>
        <v>3</v>
      </c>
    </row>
    <row r="5" spans="2:40" ht="5.0999999999999996" customHeight="1" thickBot="1" x14ac:dyDescent="0.3"/>
    <row r="6" spans="2:40" ht="15" customHeight="1" x14ac:dyDescent="0.25">
      <c r="B6" s="178" t="s">
        <v>61</v>
      </c>
      <c r="C6" s="179"/>
      <c r="D6" s="179"/>
      <c r="E6" s="179"/>
      <c r="F6" s="179"/>
      <c r="G6" s="179"/>
      <c r="H6" s="179"/>
      <c r="I6" s="192"/>
      <c r="J6" s="96"/>
      <c r="L6" s="178" t="s">
        <v>28</v>
      </c>
      <c r="M6" s="179"/>
      <c r="N6" s="179"/>
      <c r="O6" s="179"/>
      <c r="P6" s="179"/>
      <c r="Q6" s="179"/>
      <c r="R6" s="179"/>
      <c r="S6" s="179"/>
      <c r="T6" s="180"/>
      <c r="V6" s="178" t="s">
        <v>29</v>
      </c>
      <c r="W6" s="179"/>
      <c r="X6" s="179"/>
      <c r="Y6" s="179"/>
      <c r="Z6" s="179"/>
      <c r="AA6" s="179"/>
      <c r="AB6" s="179"/>
      <c r="AC6" s="179"/>
      <c r="AD6" s="180"/>
      <c r="AF6" s="178" t="s">
        <v>30</v>
      </c>
      <c r="AG6" s="179"/>
      <c r="AH6" s="179"/>
      <c r="AI6" s="179"/>
      <c r="AJ6" s="179"/>
      <c r="AK6" s="179"/>
      <c r="AL6" s="179"/>
      <c r="AM6" s="179"/>
      <c r="AN6" s="180"/>
    </row>
    <row r="7" spans="2:40" ht="15" customHeight="1" x14ac:dyDescent="0.25">
      <c r="B7" s="193"/>
      <c r="C7" s="182"/>
      <c r="D7" s="182"/>
      <c r="E7" s="182"/>
      <c r="F7" s="182"/>
      <c r="G7" s="182"/>
      <c r="H7" s="182"/>
      <c r="I7" s="183"/>
      <c r="J7" s="97"/>
      <c r="L7" s="101"/>
      <c r="M7" s="181" t="s">
        <v>69</v>
      </c>
      <c r="N7" s="182"/>
      <c r="O7" s="182"/>
      <c r="P7" s="183"/>
      <c r="Q7" s="181" t="s">
        <v>74</v>
      </c>
      <c r="R7" s="183"/>
      <c r="S7" s="181" t="s">
        <v>27</v>
      </c>
      <c r="T7" s="184"/>
      <c r="V7" s="101"/>
      <c r="W7" s="181" t="s">
        <v>69</v>
      </c>
      <c r="X7" s="182"/>
      <c r="Y7" s="182"/>
      <c r="Z7" s="183"/>
      <c r="AA7" s="181" t="s">
        <v>74</v>
      </c>
      <c r="AB7" s="183"/>
      <c r="AC7" s="181" t="s">
        <v>27</v>
      </c>
      <c r="AD7" s="184"/>
      <c r="AF7" s="101"/>
      <c r="AG7" s="181" t="s">
        <v>69</v>
      </c>
      <c r="AH7" s="182"/>
      <c r="AI7" s="182"/>
      <c r="AJ7" s="183"/>
      <c r="AK7" s="181" t="s">
        <v>74</v>
      </c>
      <c r="AL7" s="183"/>
      <c r="AM7" s="181" t="s">
        <v>27</v>
      </c>
      <c r="AN7" s="184"/>
    </row>
    <row r="8" spans="2:40" ht="15" customHeight="1" thickBot="1" x14ac:dyDescent="0.3">
      <c r="B8" s="98" t="s">
        <v>62</v>
      </c>
      <c r="C8" s="99" t="s">
        <v>63</v>
      </c>
      <c r="D8" s="99" t="s">
        <v>64</v>
      </c>
      <c r="E8" s="99" t="s">
        <v>65</v>
      </c>
      <c r="F8" s="99" t="s">
        <v>66</v>
      </c>
      <c r="G8" s="99" t="s">
        <v>67</v>
      </c>
      <c r="H8" s="99" t="s">
        <v>59</v>
      </c>
      <c r="I8" s="99" t="s">
        <v>113</v>
      </c>
      <c r="J8" s="100" t="s">
        <v>111</v>
      </c>
      <c r="L8" s="98" t="s">
        <v>68</v>
      </c>
      <c r="M8" s="99" t="s">
        <v>70</v>
      </c>
      <c r="N8" s="99" t="s">
        <v>71</v>
      </c>
      <c r="O8" s="99" t="s">
        <v>72</v>
      </c>
      <c r="P8" s="99" t="s">
        <v>73</v>
      </c>
      <c r="Q8" s="99" t="s">
        <v>75</v>
      </c>
      <c r="R8" s="99" t="s">
        <v>76</v>
      </c>
      <c r="S8" s="99" t="s">
        <v>77</v>
      </c>
      <c r="T8" s="100" t="s">
        <v>78</v>
      </c>
      <c r="V8" s="98" t="s">
        <v>68</v>
      </c>
      <c r="W8" s="99" t="s">
        <v>79</v>
      </c>
      <c r="X8" s="99" t="s">
        <v>79</v>
      </c>
      <c r="Y8" s="99" t="s">
        <v>79</v>
      </c>
      <c r="Z8" s="99" t="s">
        <v>79</v>
      </c>
      <c r="AA8" s="99" t="s">
        <v>79</v>
      </c>
      <c r="AB8" s="99" t="s">
        <v>79</v>
      </c>
      <c r="AC8" s="99" t="s">
        <v>77</v>
      </c>
      <c r="AD8" s="100" t="s">
        <v>78</v>
      </c>
      <c r="AF8" s="98" t="s">
        <v>68</v>
      </c>
      <c r="AG8" s="99" t="s">
        <v>79</v>
      </c>
      <c r="AH8" s="99" t="s">
        <v>79</v>
      </c>
      <c r="AI8" s="99" t="s">
        <v>79</v>
      </c>
      <c r="AJ8" s="99" t="s">
        <v>79</v>
      </c>
      <c r="AK8" s="99" t="s">
        <v>79</v>
      </c>
      <c r="AL8" s="99" t="s">
        <v>79</v>
      </c>
      <c r="AM8" s="99" t="s">
        <v>77</v>
      </c>
      <c r="AN8" s="100" t="s">
        <v>78</v>
      </c>
    </row>
    <row r="9" spans="2:40" ht="15" customHeight="1" x14ac:dyDescent="0.25">
      <c r="B9" s="102">
        <f>IF(C9&lt;&gt;"",1,"")</f>
        <v>1</v>
      </c>
      <c r="C9" s="103">
        <v>11111112</v>
      </c>
      <c r="D9" s="104" t="s">
        <v>82</v>
      </c>
      <c r="E9" s="104" t="s">
        <v>83</v>
      </c>
      <c r="F9" s="104" t="s">
        <v>116</v>
      </c>
      <c r="G9" s="103" t="s">
        <v>26</v>
      </c>
      <c r="H9" s="103" t="s">
        <v>84</v>
      </c>
      <c r="I9" s="104" t="s">
        <v>84</v>
      </c>
      <c r="J9" s="105" t="s">
        <v>116</v>
      </c>
      <c r="L9" s="102"/>
      <c r="M9" s="103"/>
      <c r="N9" s="103"/>
      <c r="O9" s="103"/>
      <c r="P9" s="103"/>
      <c r="Q9" s="103"/>
      <c r="R9" s="103"/>
      <c r="S9" s="103"/>
      <c r="T9" s="105"/>
      <c r="V9" s="102"/>
      <c r="W9" s="103"/>
      <c r="X9" s="103"/>
      <c r="Y9" s="103"/>
      <c r="Z9" s="103"/>
      <c r="AA9" s="103"/>
      <c r="AB9" s="103"/>
      <c r="AC9" s="103"/>
      <c r="AD9" s="105"/>
      <c r="AF9" s="102"/>
      <c r="AG9" s="103"/>
      <c r="AH9" s="103"/>
      <c r="AI9" s="103"/>
      <c r="AJ9" s="103"/>
      <c r="AK9" s="103"/>
      <c r="AL9" s="103"/>
      <c r="AM9" s="103"/>
      <c r="AN9" s="105"/>
    </row>
    <row r="10" spans="2:40" ht="15" customHeight="1" x14ac:dyDescent="0.25">
      <c r="B10" s="106">
        <f>IF(C10&lt;&gt;"",MAX($B$9:$B9)+1,"")</f>
        <v>2</v>
      </c>
      <c r="C10" s="107">
        <v>11111111</v>
      </c>
      <c r="D10" s="108" t="s">
        <v>108</v>
      </c>
      <c r="E10" s="108" t="s">
        <v>80</v>
      </c>
      <c r="F10" s="108"/>
      <c r="G10" s="107" t="s">
        <v>26</v>
      </c>
      <c r="H10" s="107" t="s">
        <v>81</v>
      </c>
      <c r="I10" s="108" t="s">
        <v>81</v>
      </c>
      <c r="J10" s="109"/>
      <c r="L10" s="114">
        <v>42736</v>
      </c>
      <c r="M10" s="107"/>
      <c r="N10" s="107"/>
      <c r="O10" s="107"/>
      <c r="P10" s="107"/>
      <c r="Q10" s="107"/>
      <c r="R10" s="107"/>
      <c r="S10" s="107"/>
      <c r="T10" s="109" t="s">
        <v>32</v>
      </c>
      <c r="V10" s="106"/>
      <c r="W10" s="107"/>
      <c r="X10" s="107"/>
      <c r="Y10" s="107"/>
      <c r="Z10" s="107"/>
      <c r="AA10" s="107"/>
      <c r="AB10" s="107"/>
      <c r="AC10" s="107"/>
      <c r="AD10" s="109"/>
      <c r="AF10" s="106"/>
      <c r="AG10" s="107"/>
      <c r="AH10" s="107"/>
      <c r="AI10" s="107"/>
      <c r="AJ10" s="107"/>
      <c r="AK10" s="107"/>
      <c r="AL10" s="107"/>
      <c r="AM10" s="107"/>
      <c r="AN10" s="109"/>
    </row>
    <row r="11" spans="2:40" ht="15" customHeight="1" x14ac:dyDescent="0.25">
      <c r="B11" s="106">
        <f>IF(C11&lt;&gt;"",MAX($B$9:$B10)+1,"")</f>
        <v>3</v>
      </c>
      <c r="C11" s="107">
        <v>11111113</v>
      </c>
      <c r="D11" s="108" t="s">
        <v>85</v>
      </c>
      <c r="E11" s="108" t="s">
        <v>86</v>
      </c>
      <c r="F11" s="108"/>
      <c r="G11" s="107" t="s">
        <v>26</v>
      </c>
      <c r="H11" s="107" t="s">
        <v>84</v>
      </c>
      <c r="I11" s="108" t="s">
        <v>84</v>
      </c>
      <c r="J11" s="109"/>
      <c r="L11" s="114">
        <v>42978</v>
      </c>
      <c r="M11" s="107"/>
      <c r="N11" s="107"/>
      <c r="O11" s="107"/>
      <c r="P11" s="107"/>
      <c r="Q11" s="107"/>
      <c r="R11" s="107"/>
      <c r="S11" s="107"/>
      <c r="T11" s="109" t="s">
        <v>45</v>
      </c>
      <c r="V11" s="106"/>
      <c r="W11" s="107"/>
      <c r="X11" s="107"/>
      <c r="Y11" s="107"/>
      <c r="Z11" s="107"/>
      <c r="AA11" s="107"/>
      <c r="AB11" s="107"/>
      <c r="AC11" s="107"/>
      <c r="AD11" s="109"/>
      <c r="AF11" s="106"/>
      <c r="AG11" s="107"/>
      <c r="AH11" s="107"/>
      <c r="AI11" s="107"/>
      <c r="AJ11" s="107"/>
      <c r="AK11" s="107"/>
      <c r="AL11" s="107"/>
      <c r="AM11" s="107"/>
      <c r="AN11" s="109"/>
    </row>
    <row r="12" spans="2:40" ht="15" customHeight="1" thickBot="1" x14ac:dyDescent="0.3">
      <c r="B12" s="110"/>
      <c r="C12" s="111"/>
      <c r="D12" s="112"/>
      <c r="E12" s="112"/>
      <c r="F12" s="112"/>
      <c r="G12" s="111"/>
      <c r="H12" s="111"/>
      <c r="I12" s="112"/>
      <c r="J12" s="113"/>
      <c r="L12" s="110"/>
      <c r="M12" s="111"/>
      <c r="N12" s="111"/>
      <c r="O12" s="111"/>
      <c r="P12" s="111"/>
      <c r="Q12" s="111"/>
      <c r="R12" s="111"/>
      <c r="S12" s="111"/>
      <c r="T12" s="113"/>
      <c r="V12" s="110"/>
      <c r="W12" s="111"/>
      <c r="X12" s="111"/>
      <c r="Y12" s="111"/>
      <c r="Z12" s="111"/>
      <c r="AA12" s="111"/>
      <c r="AB12" s="111"/>
      <c r="AC12" s="111"/>
      <c r="AD12" s="113"/>
      <c r="AF12" s="110"/>
      <c r="AG12" s="111"/>
      <c r="AH12" s="111"/>
      <c r="AI12" s="111"/>
      <c r="AJ12" s="111"/>
      <c r="AK12" s="111"/>
      <c r="AL12" s="111"/>
      <c r="AM12" s="111"/>
      <c r="AN12" s="113"/>
    </row>
  </sheetData>
  <autoFilter ref="C8:AN8" xr:uid="{00000000-0009-0000-0000-000008000000}"/>
  <dataConsolidate/>
  <mergeCells count="15">
    <mergeCell ref="B1:C4"/>
    <mergeCell ref="D1:J2"/>
    <mergeCell ref="B6:I7"/>
    <mergeCell ref="L6:T6"/>
    <mergeCell ref="M7:P7"/>
    <mergeCell ref="Q7:R7"/>
    <mergeCell ref="S7:T7"/>
    <mergeCell ref="V6:AD6"/>
    <mergeCell ref="W7:Z7"/>
    <mergeCell ref="AA7:AB7"/>
    <mergeCell ref="AC7:AD7"/>
    <mergeCell ref="AF6:AN6"/>
    <mergeCell ref="AG7:AJ7"/>
    <mergeCell ref="AK7:AL7"/>
    <mergeCell ref="AM7:AN7"/>
  </mergeCells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9"/>
  <dimension ref="B1:AN13"/>
  <sheetViews>
    <sheetView workbookViewId="0">
      <pane xSplit="10" ySplit="8" topLeftCell="K9" activePane="bottomRight" state="frozen"/>
      <selection pane="topRight" activeCell="K1" sqref="K1"/>
      <selection pane="bottomLeft" activeCell="A9" sqref="A9"/>
      <selection pane="bottomRight" activeCell="H14" sqref="H14"/>
    </sheetView>
  </sheetViews>
  <sheetFormatPr baseColWidth="10" defaultRowHeight="15" customHeight="1" x14ac:dyDescent="0.25"/>
  <cols>
    <col min="1" max="1" width="0.85546875" style="55" customWidth="1"/>
    <col min="2" max="2" width="7.7109375" style="55" customWidth="1"/>
    <col min="3" max="3" width="11.42578125" style="55"/>
    <col min="4" max="6" width="17.7109375" style="55" customWidth="1"/>
    <col min="7" max="9" width="7.7109375" style="55" customWidth="1"/>
    <col min="10" max="10" width="20.7109375" style="55" customWidth="1"/>
    <col min="11" max="11" width="0.85546875" style="55" customWidth="1"/>
    <col min="12" max="20" width="11.42578125" style="55"/>
    <col min="21" max="21" width="0.85546875" style="55" customWidth="1"/>
    <col min="22" max="30" width="11.42578125" style="55"/>
    <col min="31" max="31" width="0.85546875" style="55" customWidth="1"/>
    <col min="32" max="40" width="11.42578125" style="55"/>
    <col min="41" max="41" width="0.85546875" style="55" customWidth="1"/>
    <col min="42" max="16384" width="11.42578125" style="55"/>
  </cols>
  <sheetData>
    <row r="1" spans="2:40" ht="15" customHeight="1" x14ac:dyDescent="0.25">
      <c r="B1" s="185" t="s">
        <v>57</v>
      </c>
      <c r="C1" s="186"/>
      <c r="D1" s="191" t="s">
        <v>58</v>
      </c>
      <c r="E1" s="179"/>
      <c r="F1" s="179"/>
      <c r="G1" s="179"/>
      <c r="H1" s="179"/>
      <c r="I1" s="179"/>
      <c r="J1" s="180"/>
    </row>
    <row r="2" spans="2:40" ht="15" customHeight="1" x14ac:dyDescent="0.25">
      <c r="B2" s="187"/>
      <c r="C2" s="188"/>
      <c r="D2" s="181"/>
      <c r="E2" s="182"/>
      <c r="F2" s="182"/>
      <c r="G2" s="182"/>
      <c r="H2" s="182"/>
      <c r="I2" s="182"/>
      <c r="J2" s="184"/>
    </row>
    <row r="3" spans="2:40" ht="15" customHeight="1" x14ac:dyDescent="0.25">
      <c r="B3" s="187"/>
      <c r="C3" s="188"/>
      <c r="D3" s="94" t="s">
        <v>24</v>
      </c>
      <c r="E3" s="94" t="s">
        <v>25</v>
      </c>
      <c r="F3" s="94" t="s">
        <v>26</v>
      </c>
      <c r="G3" s="94" t="s">
        <v>23</v>
      </c>
      <c r="H3" s="94" t="s">
        <v>114</v>
      </c>
      <c r="I3" s="94" t="s">
        <v>115</v>
      </c>
      <c r="J3" s="95" t="s">
        <v>60</v>
      </c>
    </row>
    <row r="4" spans="2:40" ht="15" customHeight="1" thickBot="1" x14ac:dyDescent="0.3">
      <c r="B4" s="189"/>
      <c r="C4" s="190"/>
      <c r="D4" s="92">
        <f ca="1">COUNTIF(INDIRECT(ADDRESS(9,MATCH("ZG",$8:$8,0))&amp;":"&amp;ADDRESS(COUNT($B:$B)+8,MATCH("ZG",$8:$8,0))),"ZG 1")</f>
        <v>0</v>
      </c>
      <c r="E4" s="92">
        <f ca="1">COUNTIF(INDIRECT(ADDRESS(9,MATCH("ZG",$8:$8,0))&amp;":"&amp;ADDRESS(COUNT($B:$B)+8,MATCH("ZG",$8:$8,0))),"ZG 2")</f>
        <v>0</v>
      </c>
      <c r="F4" s="92">
        <f ca="1">COUNTIF(INDIRECT(ADDRESS(9,MATCH("ZG",$8:$8,0))&amp;":"&amp;ADDRESS(COUNT($B:$B)+8,MATCH("ZG",$8:$8,0))),"ZG 3")</f>
        <v>4</v>
      </c>
      <c r="G4" s="92"/>
      <c r="H4" s="92">
        <f ca="1">COUNTIF(INDIRECT(ADDRESS(9,MATCH("Laserschütze",$8:$8,0))&amp;":"&amp;ADDRESS(COUNT($B:$B)+8,MATCH("Laserschütze",$8:$8,0))),"ja")</f>
        <v>1</v>
      </c>
      <c r="I4" s="92">
        <f ca="1">COUNTIF(INDIRECT(ADDRESS(9,MATCH("Hörschutz",$8:$8,0))&amp;":"&amp;ADDRESS(COUNT($B:$B)+8,MATCH("Hörschutz",$8:$8,0))),"ja")</f>
        <v>1</v>
      </c>
      <c r="J4" s="93">
        <f>MAX($B:$B)</f>
        <v>4</v>
      </c>
    </row>
    <row r="5" spans="2:40" ht="5.0999999999999996" customHeight="1" thickBot="1" x14ac:dyDescent="0.3"/>
    <row r="6" spans="2:40" ht="15" customHeight="1" x14ac:dyDescent="0.25">
      <c r="B6" s="178" t="s">
        <v>61</v>
      </c>
      <c r="C6" s="179"/>
      <c r="D6" s="179"/>
      <c r="E6" s="179"/>
      <c r="F6" s="179"/>
      <c r="G6" s="179"/>
      <c r="H6" s="179"/>
      <c r="I6" s="192"/>
      <c r="J6" s="96"/>
      <c r="L6" s="178" t="s">
        <v>28</v>
      </c>
      <c r="M6" s="179"/>
      <c r="N6" s="179"/>
      <c r="O6" s="179"/>
      <c r="P6" s="179"/>
      <c r="Q6" s="179"/>
      <c r="R6" s="179"/>
      <c r="S6" s="179"/>
      <c r="T6" s="180"/>
      <c r="V6" s="178" t="s">
        <v>29</v>
      </c>
      <c r="W6" s="179"/>
      <c r="X6" s="179"/>
      <c r="Y6" s="179"/>
      <c r="Z6" s="179"/>
      <c r="AA6" s="179"/>
      <c r="AB6" s="179"/>
      <c r="AC6" s="179"/>
      <c r="AD6" s="180"/>
      <c r="AF6" s="178" t="s">
        <v>30</v>
      </c>
      <c r="AG6" s="179"/>
      <c r="AH6" s="179"/>
      <c r="AI6" s="179"/>
      <c r="AJ6" s="179"/>
      <c r="AK6" s="179"/>
      <c r="AL6" s="179"/>
      <c r="AM6" s="179"/>
      <c r="AN6" s="180"/>
    </row>
    <row r="7" spans="2:40" ht="15" customHeight="1" x14ac:dyDescent="0.25">
      <c r="B7" s="193"/>
      <c r="C7" s="182"/>
      <c r="D7" s="182"/>
      <c r="E7" s="182"/>
      <c r="F7" s="182"/>
      <c r="G7" s="182"/>
      <c r="H7" s="182"/>
      <c r="I7" s="183"/>
      <c r="J7" s="97"/>
      <c r="L7" s="101"/>
      <c r="M7" s="181" t="s">
        <v>69</v>
      </c>
      <c r="N7" s="182"/>
      <c r="O7" s="182"/>
      <c r="P7" s="183"/>
      <c r="Q7" s="181" t="s">
        <v>74</v>
      </c>
      <c r="R7" s="183"/>
      <c r="S7" s="181" t="s">
        <v>27</v>
      </c>
      <c r="T7" s="184"/>
      <c r="V7" s="101"/>
      <c r="W7" s="181" t="s">
        <v>69</v>
      </c>
      <c r="X7" s="182"/>
      <c r="Y7" s="182"/>
      <c r="Z7" s="183"/>
      <c r="AA7" s="181" t="s">
        <v>74</v>
      </c>
      <c r="AB7" s="183"/>
      <c r="AC7" s="181" t="s">
        <v>27</v>
      </c>
      <c r="AD7" s="184"/>
      <c r="AF7" s="101"/>
      <c r="AG7" s="181" t="s">
        <v>69</v>
      </c>
      <c r="AH7" s="182"/>
      <c r="AI7" s="182"/>
      <c r="AJ7" s="183"/>
      <c r="AK7" s="181" t="s">
        <v>74</v>
      </c>
      <c r="AL7" s="183"/>
      <c r="AM7" s="181" t="s">
        <v>27</v>
      </c>
      <c r="AN7" s="184"/>
    </row>
    <row r="8" spans="2:40" ht="15" customHeight="1" thickBot="1" x14ac:dyDescent="0.3">
      <c r="B8" s="98" t="s">
        <v>62</v>
      </c>
      <c r="C8" s="99" t="s">
        <v>63</v>
      </c>
      <c r="D8" s="99" t="s">
        <v>64</v>
      </c>
      <c r="E8" s="99" t="s">
        <v>65</v>
      </c>
      <c r="F8" s="99" t="s">
        <v>66</v>
      </c>
      <c r="G8" s="99" t="s">
        <v>67</v>
      </c>
      <c r="H8" s="99" t="s">
        <v>59</v>
      </c>
      <c r="I8" s="99" t="s">
        <v>113</v>
      </c>
      <c r="J8" s="100" t="s">
        <v>111</v>
      </c>
      <c r="L8" s="98" t="s">
        <v>68</v>
      </c>
      <c r="M8" s="99" t="s">
        <v>70</v>
      </c>
      <c r="N8" s="99" t="s">
        <v>71</v>
      </c>
      <c r="O8" s="99" t="s">
        <v>72</v>
      </c>
      <c r="P8" s="99" t="s">
        <v>73</v>
      </c>
      <c r="Q8" s="99" t="s">
        <v>75</v>
      </c>
      <c r="R8" s="99" t="s">
        <v>76</v>
      </c>
      <c r="S8" s="99" t="s">
        <v>77</v>
      </c>
      <c r="T8" s="100" t="s">
        <v>78</v>
      </c>
      <c r="V8" s="98" t="s">
        <v>68</v>
      </c>
      <c r="W8" s="99" t="s">
        <v>79</v>
      </c>
      <c r="X8" s="99" t="s">
        <v>79</v>
      </c>
      <c r="Y8" s="99" t="s">
        <v>79</v>
      </c>
      <c r="Z8" s="99" t="s">
        <v>79</v>
      </c>
      <c r="AA8" s="99" t="s">
        <v>79</v>
      </c>
      <c r="AB8" s="99" t="s">
        <v>79</v>
      </c>
      <c r="AC8" s="99" t="s">
        <v>77</v>
      </c>
      <c r="AD8" s="100" t="s">
        <v>78</v>
      </c>
      <c r="AF8" s="98" t="s">
        <v>68</v>
      </c>
      <c r="AG8" s="99" t="s">
        <v>79</v>
      </c>
      <c r="AH8" s="99" t="s">
        <v>79</v>
      </c>
      <c r="AI8" s="99" t="s">
        <v>79</v>
      </c>
      <c r="AJ8" s="99" t="s">
        <v>79</v>
      </c>
      <c r="AK8" s="99" t="s">
        <v>79</v>
      </c>
      <c r="AL8" s="99" t="s">
        <v>79</v>
      </c>
      <c r="AM8" s="99" t="s">
        <v>77</v>
      </c>
      <c r="AN8" s="100" t="s">
        <v>78</v>
      </c>
    </row>
    <row r="9" spans="2:40" ht="15" customHeight="1" x14ac:dyDescent="0.25">
      <c r="B9" s="102">
        <f>IF(C9&lt;&gt;"",1,"")</f>
        <v>1</v>
      </c>
      <c r="C9" s="103">
        <v>33333331</v>
      </c>
      <c r="D9" s="104" t="s">
        <v>117</v>
      </c>
      <c r="E9" s="104" t="s">
        <v>118</v>
      </c>
      <c r="F9" s="104"/>
      <c r="G9" s="103" t="s">
        <v>26</v>
      </c>
      <c r="H9" s="103" t="s">
        <v>84</v>
      </c>
      <c r="I9" s="104" t="s">
        <v>84</v>
      </c>
      <c r="J9" s="105"/>
      <c r="L9" s="102"/>
      <c r="M9" s="103"/>
      <c r="N9" s="103"/>
      <c r="O9" s="103"/>
      <c r="P9" s="103"/>
      <c r="Q9" s="103"/>
      <c r="R9" s="103"/>
      <c r="S9" s="103"/>
      <c r="T9" s="105"/>
      <c r="V9" s="102"/>
      <c r="W9" s="103"/>
      <c r="X9" s="103"/>
      <c r="Y9" s="103"/>
      <c r="Z9" s="103"/>
      <c r="AA9" s="103"/>
      <c r="AB9" s="103"/>
      <c r="AC9" s="103"/>
      <c r="AD9" s="105"/>
      <c r="AF9" s="102"/>
      <c r="AG9" s="103"/>
      <c r="AH9" s="103"/>
      <c r="AI9" s="103"/>
      <c r="AJ9" s="103"/>
      <c r="AK9" s="103"/>
      <c r="AL9" s="103"/>
      <c r="AM9" s="103"/>
      <c r="AN9" s="105"/>
    </row>
    <row r="10" spans="2:40" ht="15" customHeight="1" x14ac:dyDescent="0.25">
      <c r="B10" s="106">
        <f>IF(C10&lt;&gt;"",MAX($B$9:$B9)+1,"")</f>
        <v>2</v>
      </c>
      <c r="C10" s="107">
        <v>33333332</v>
      </c>
      <c r="D10" s="108" t="s">
        <v>119</v>
      </c>
      <c r="E10" s="108" t="s">
        <v>120</v>
      </c>
      <c r="F10" s="108"/>
      <c r="G10" s="107" t="s">
        <v>26</v>
      </c>
      <c r="H10" s="107" t="s">
        <v>84</v>
      </c>
      <c r="I10" s="108" t="s">
        <v>84</v>
      </c>
      <c r="J10" s="109"/>
      <c r="L10" s="106"/>
      <c r="M10" s="107"/>
      <c r="N10" s="107"/>
      <c r="O10" s="107"/>
      <c r="P10" s="107"/>
      <c r="Q10" s="107"/>
      <c r="R10" s="107"/>
      <c r="S10" s="107"/>
      <c r="T10" s="109"/>
      <c r="V10" s="106"/>
      <c r="W10" s="107"/>
      <c r="X10" s="107"/>
      <c r="Y10" s="107"/>
      <c r="Z10" s="107"/>
      <c r="AA10" s="107"/>
      <c r="AB10" s="107"/>
      <c r="AC10" s="107"/>
      <c r="AD10" s="109"/>
      <c r="AF10" s="106"/>
      <c r="AG10" s="107"/>
      <c r="AH10" s="107"/>
      <c r="AI10" s="107"/>
      <c r="AJ10" s="107"/>
      <c r="AK10" s="107"/>
      <c r="AL10" s="107"/>
      <c r="AM10" s="107"/>
      <c r="AN10" s="109"/>
    </row>
    <row r="11" spans="2:40" ht="15" customHeight="1" x14ac:dyDescent="0.25">
      <c r="B11" s="106">
        <f>IF(C11&lt;&gt;"",MAX($B$9:$B10)+1,"")</f>
        <v>3</v>
      </c>
      <c r="C11" s="107">
        <v>33333333</v>
      </c>
      <c r="D11" s="108" t="s">
        <v>121</v>
      </c>
      <c r="E11" s="108" t="s">
        <v>122</v>
      </c>
      <c r="F11" s="108"/>
      <c r="G11" s="107" t="s">
        <v>26</v>
      </c>
      <c r="H11" s="107" t="s">
        <v>81</v>
      </c>
      <c r="I11" s="108" t="s">
        <v>81</v>
      </c>
      <c r="J11" s="109"/>
      <c r="L11" s="106"/>
      <c r="M11" s="107"/>
      <c r="N11" s="107"/>
      <c r="O11" s="107"/>
      <c r="P11" s="107"/>
      <c r="Q11" s="107"/>
      <c r="R11" s="107"/>
      <c r="S11" s="107"/>
      <c r="T11" s="109"/>
      <c r="V11" s="106"/>
      <c r="W11" s="107"/>
      <c r="X11" s="107"/>
      <c r="Y11" s="107"/>
      <c r="Z11" s="107"/>
      <c r="AA11" s="107"/>
      <c r="AB11" s="107"/>
      <c r="AC11" s="107"/>
      <c r="AD11" s="109"/>
      <c r="AF11" s="106"/>
      <c r="AG11" s="107"/>
      <c r="AH11" s="107"/>
      <c r="AI11" s="107"/>
      <c r="AJ11" s="107"/>
      <c r="AK11" s="107"/>
      <c r="AL11" s="107"/>
      <c r="AM11" s="107"/>
      <c r="AN11" s="109"/>
    </row>
    <row r="12" spans="2:40" ht="15" customHeight="1" x14ac:dyDescent="0.25">
      <c r="B12" s="106">
        <f>IF(C12&lt;&gt;"",MAX($B$9:$B11)+1,"")</f>
        <v>4</v>
      </c>
      <c r="C12" s="107">
        <v>11111114</v>
      </c>
      <c r="D12" s="108" t="s">
        <v>87</v>
      </c>
      <c r="E12" s="108" t="s">
        <v>88</v>
      </c>
      <c r="F12" s="108"/>
      <c r="G12" s="107" t="s">
        <v>26</v>
      </c>
      <c r="H12" s="107" t="s">
        <v>84</v>
      </c>
      <c r="I12" s="108" t="s">
        <v>84</v>
      </c>
      <c r="J12" s="109"/>
      <c r="L12" s="114" t="s">
        <v>130</v>
      </c>
      <c r="M12" s="107" t="s">
        <v>136</v>
      </c>
      <c r="N12" s="107" t="s">
        <v>135</v>
      </c>
      <c r="O12" s="107" t="s">
        <v>134</v>
      </c>
      <c r="P12" s="107" t="s">
        <v>133</v>
      </c>
      <c r="Q12" s="107" t="s">
        <v>132</v>
      </c>
      <c r="R12" s="107" t="s">
        <v>131</v>
      </c>
      <c r="S12" s="107" t="s">
        <v>81</v>
      </c>
      <c r="T12" s="109" t="s">
        <v>45</v>
      </c>
      <c r="V12" s="106" t="s">
        <v>116</v>
      </c>
      <c r="W12" s="107" t="s">
        <v>129</v>
      </c>
      <c r="X12" s="107" t="s">
        <v>131</v>
      </c>
      <c r="Y12" s="107" t="s">
        <v>132</v>
      </c>
      <c r="Z12" s="107" t="s">
        <v>133</v>
      </c>
      <c r="AA12" s="107" t="s">
        <v>134</v>
      </c>
      <c r="AB12" s="107" t="s">
        <v>135</v>
      </c>
      <c r="AC12" s="107"/>
      <c r="AD12" s="109" t="s">
        <v>45</v>
      </c>
      <c r="AF12" s="106"/>
      <c r="AG12" s="107"/>
      <c r="AH12" s="107"/>
      <c r="AI12" s="107"/>
      <c r="AJ12" s="107"/>
      <c r="AK12" s="107"/>
      <c r="AL12" s="107"/>
      <c r="AM12" s="107"/>
      <c r="AN12" s="109"/>
    </row>
    <row r="13" spans="2:40" ht="15" customHeight="1" thickBot="1" x14ac:dyDescent="0.3">
      <c r="B13" s="110"/>
      <c r="C13" s="111"/>
      <c r="D13" s="112"/>
      <c r="E13" s="112"/>
      <c r="F13" s="112"/>
      <c r="G13" s="111"/>
      <c r="H13" s="111"/>
      <c r="I13" s="112"/>
      <c r="J13" s="113"/>
      <c r="L13" s="110"/>
      <c r="M13" s="111"/>
      <c r="N13" s="111"/>
      <c r="O13" s="111"/>
      <c r="P13" s="111"/>
      <c r="Q13" s="111"/>
      <c r="R13" s="111"/>
      <c r="S13" s="111"/>
      <c r="T13" s="113"/>
      <c r="V13" s="110"/>
      <c r="W13" s="111"/>
      <c r="X13" s="111"/>
      <c r="Y13" s="111"/>
      <c r="Z13" s="111"/>
      <c r="AA13" s="111"/>
      <c r="AB13" s="111"/>
      <c r="AC13" s="111"/>
      <c r="AD13" s="113"/>
      <c r="AF13" s="110"/>
      <c r="AG13" s="111"/>
      <c r="AH13" s="111"/>
      <c r="AI13" s="111"/>
      <c r="AJ13" s="111"/>
      <c r="AK13" s="111"/>
      <c r="AL13" s="111"/>
      <c r="AM13" s="111"/>
      <c r="AN13" s="113"/>
    </row>
  </sheetData>
  <mergeCells count="15">
    <mergeCell ref="V6:AD6"/>
    <mergeCell ref="W7:Z7"/>
    <mergeCell ref="AA7:AB7"/>
    <mergeCell ref="AC7:AD7"/>
    <mergeCell ref="AF6:AN6"/>
    <mergeCell ref="AG7:AJ7"/>
    <mergeCell ref="AK7:AL7"/>
    <mergeCell ref="AM7:AN7"/>
    <mergeCell ref="B1:C4"/>
    <mergeCell ref="D1:J2"/>
    <mergeCell ref="B6:I7"/>
    <mergeCell ref="L6:T6"/>
    <mergeCell ref="M7:P7"/>
    <mergeCell ref="Q7:R7"/>
    <mergeCell ref="S7:T7"/>
  </mergeCells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0"/>
  <dimension ref="B1:AN12"/>
  <sheetViews>
    <sheetView workbookViewId="0">
      <pane xSplit="10" ySplit="8" topLeftCell="K9" activePane="bottomRight" state="frozen"/>
      <selection pane="topRight" activeCell="K1" sqref="K1"/>
      <selection pane="bottomLeft" activeCell="A9" sqref="A9"/>
      <selection pane="bottomRight" activeCell="L22" sqref="L22"/>
    </sheetView>
  </sheetViews>
  <sheetFormatPr baseColWidth="10" defaultRowHeight="15" customHeight="1" x14ac:dyDescent="0.25"/>
  <cols>
    <col min="1" max="1" width="0.85546875" style="55" customWidth="1"/>
    <col min="2" max="2" width="7.7109375" style="55" customWidth="1"/>
    <col min="3" max="3" width="11.42578125" style="55"/>
    <col min="4" max="6" width="17.7109375" style="55" customWidth="1"/>
    <col min="7" max="9" width="7.7109375" style="55" customWidth="1"/>
    <col min="10" max="10" width="20.7109375" style="55" customWidth="1"/>
    <col min="11" max="11" width="0.85546875" style="55" customWidth="1"/>
    <col min="12" max="20" width="11.42578125" style="55"/>
    <col min="21" max="21" width="0.85546875" style="55" customWidth="1"/>
    <col min="22" max="30" width="11.42578125" style="55"/>
    <col min="31" max="31" width="0.85546875" style="55" customWidth="1"/>
    <col min="32" max="40" width="11.42578125" style="55"/>
    <col min="41" max="41" width="0.85546875" style="55" customWidth="1"/>
    <col min="42" max="16384" width="11.42578125" style="55"/>
  </cols>
  <sheetData>
    <row r="1" spans="2:40" ht="15" customHeight="1" x14ac:dyDescent="0.25">
      <c r="B1" s="185" t="s">
        <v>90</v>
      </c>
      <c r="C1" s="194"/>
      <c r="D1" s="197" t="s">
        <v>58</v>
      </c>
      <c r="E1" s="179"/>
      <c r="F1" s="179"/>
      <c r="G1" s="179"/>
      <c r="H1" s="179"/>
      <c r="I1" s="179"/>
      <c r="J1" s="180"/>
    </row>
    <row r="2" spans="2:40" ht="15" customHeight="1" x14ac:dyDescent="0.25">
      <c r="B2" s="187"/>
      <c r="C2" s="195"/>
      <c r="D2" s="198"/>
      <c r="E2" s="182"/>
      <c r="F2" s="182"/>
      <c r="G2" s="182"/>
      <c r="H2" s="182"/>
      <c r="I2" s="182"/>
      <c r="J2" s="184"/>
    </row>
    <row r="3" spans="2:40" ht="15" customHeight="1" x14ac:dyDescent="0.25">
      <c r="B3" s="187"/>
      <c r="C3" s="195"/>
      <c r="D3" s="61" t="s">
        <v>24</v>
      </c>
      <c r="E3" s="61" t="s">
        <v>25</v>
      </c>
      <c r="F3" s="61" t="s">
        <v>26</v>
      </c>
      <c r="G3" s="61" t="s">
        <v>23</v>
      </c>
      <c r="H3" s="61" t="s">
        <v>114</v>
      </c>
      <c r="I3" s="61" t="s">
        <v>115</v>
      </c>
      <c r="J3" s="62" t="s">
        <v>60</v>
      </c>
    </row>
    <row r="4" spans="2:40" ht="15" customHeight="1" thickBot="1" x14ac:dyDescent="0.3">
      <c r="B4" s="189"/>
      <c r="C4" s="196"/>
      <c r="D4" s="59">
        <f ca="1">COUNTIF(INDIRECT(ADDRESS(9,MATCH("ZG",$8:$8,0))&amp;":"&amp;ADDRESS(COUNT($B:$B)+8,MATCH("ZG",$8:$8,0))),"ZG 1")</f>
        <v>1</v>
      </c>
      <c r="E4" s="59">
        <f ca="1">COUNTIF(INDIRECT(ADDRESS(9,MATCH("ZG",$8:$8,0))&amp;":"&amp;ADDRESS(COUNT($B:$B)+8,MATCH("ZG",$8:$8,0))),"ZG 2")</f>
        <v>0</v>
      </c>
      <c r="F4" s="59">
        <f ca="1">COUNTIF(INDIRECT(ADDRESS(9,MATCH("ZG",$8:$8,0))&amp;":"&amp;ADDRESS(COUNT($B:$B)+8,MATCH("ZG",$8:$8,0))),"ZG 3")</f>
        <v>2</v>
      </c>
      <c r="G4" s="59"/>
      <c r="H4" s="59">
        <f ca="1">COUNTIF(INDIRECT(ADDRESS(9,MATCH("Laserschütze",$8:$8,0))&amp;":"&amp;ADDRESS(COUNT($B:$B)+8,MATCH("Laserschütze",$8:$8,0))),"ja")</f>
        <v>1</v>
      </c>
      <c r="I4" s="59">
        <f ca="1">COUNTIF(INDIRECT(ADDRESS(9,MATCH("Hörschutz",$8:$8,0))&amp;":"&amp;ADDRESS(COUNT($B:$B)+8,MATCH("Hörschutz",$8:$8,0))),"ja")</f>
        <v>1</v>
      </c>
      <c r="J4" s="60">
        <f>MAX($B:$B)</f>
        <v>3</v>
      </c>
    </row>
    <row r="5" spans="2:40" ht="5.0999999999999996" customHeight="1" thickBot="1" x14ac:dyDescent="0.3"/>
    <row r="6" spans="2:40" ht="15" customHeight="1" x14ac:dyDescent="0.25">
      <c r="B6" s="178" t="s">
        <v>61</v>
      </c>
      <c r="C6" s="179"/>
      <c r="D6" s="179"/>
      <c r="E6" s="179"/>
      <c r="F6" s="179"/>
      <c r="G6" s="179"/>
      <c r="H6" s="179"/>
      <c r="I6" s="199"/>
      <c r="J6" s="63"/>
      <c r="L6" s="178" t="s">
        <v>28</v>
      </c>
      <c r="M6" s="179"/>
      <c r="N6" s="179"/>
      <c r="O6" s="179"/>
      <c r="P6" s="179"/>
      <c r="Q6" s="179"/>
      <c r="R6" s="179"/>
      <c r="S6" s="179"/>
      <c r="T6" s="180"/>
      <c r="V6" s="178" t="s">
        <v>29</v>
      </c>
      <c r="W6" s="179"/>
      <c r="X6" s="179"/>
      <c r="Y6" s="179"/>
      <c r="Z6" s="179"/>
      <c r="AA6" s="179"/>
      <c r="AB6" s="179"/>
      <c r="AC6" s="179"/>
      <c r="AD6" s="180"/>
      <c r="AF6" s="178" t="s">
        <v>30</v>
      </c>
      <c r="AG6" s="179"/>
      <c r="AH6" s="179"/>
      <c r="AI6" s="179"/>
      <c r="AJ6" s="179"/>
      <c r="AK6" s="179"/>
      <c r="AL6" s="179"/>
      <c r="AM6" s="179"/>
      <c r="AN6" s="180"/>
    </row>
    <row r="7" spans="2:40" ht="15" customHeight="1" x14ac:dyDescent="0.25">
      <c r="B7" s="193"/>
      <c r="C7" s="182"/>
      <c r="D7" s="182"/>
      <c r="E7" s="182"/>
      <c r="F7" s="182"/>
      <c r="G7" s="182"/>
      <c r="H7" s="182"/>
      <c r="I7" s="200"/>
      <c r="J7" s="64"/>
      <c r="L7" s="68"/>
      <c r="M7" s="198" t="s">
        <v>69</v>
      </c>
      <c r="N7" s="182"/>
      <c r="O7" s="182"/>
      <c r="P7" s="200"/>
      <c r="Q7" s="198" t="s">
        <v>74</v>
      </c>
      <c r="R7" s="200"/>
      <c r="S7" s="198" t="s">
        <v>27</v>
      </c>
      <c r="T7" s="184"/>
      <c r="V7" s="68"/>
      <c r="W7" s="198" t="s">
        <v>69</v>
      </c>
      <c r="X7" s="182"/>
      <c r="Y7" s="182"/>
      <c r="Z7" s="200"/>
      <c r="AA7" s="198" t="s">
        <v>74</v>
      </c>
      <c r="AB7" s="200"/>
      <c r="AC7" s="198" t="s">
        <v>27</v>
      </c>
      <c r="AD7" s="184"/>
      <c r="AF7" s="68"/>
      <c r="AG7" s="198" t="s">
        <v>69</v>
      </c>
      <c r="AH7" s="182"/>
      <c r="AI7" s="182"/>
      <c r="AJ7" s="200"/>
      <c r="AK7" s="198" t="s">
        <v>74</v>
      </c>
      <c r="AL7" s="200"/>
      <c r="AM7" s="198" t="s">
        <v>27</v>
      </c>
      <c r="AN7" s="184"/>
    </row>
    <row r="8" spans="2:40" ht="15" customHeight="1" thickBot="1" x14ac:dyDescent="0.3">
      <c r="B8" s="65" t="s">
        <v>62</v>
      </c>
      <c r="C8" s="66" t="s">
        <v>63</v>
      </c>
      <c r="D8" s="66" t="s">
        <v>64</v>
      </c>
      <c r="E8" s="66" t="s">
        <v>65</v>
      </c>
      <c r="F8" s="66" t="s">
        <v>66</v>
      </c>
      <c r="G8" s="66" t="s">
        <v>67</v>
      </c>
      <c r="H8" s="66" t="s">
        <v>59</v>
      </c>
      <c r="I8" s="66" t="s">
        <v>113</v>
      </c>
      <c r="J8" s="67" t="s">
        <v>111</v>
      </c>
      <c r="L8" s="65" t="s">
        <v>68</v>
      </c>
      <c r="M8" s="66" t="s">
        <v>70</v>
      </c>
      <c r="N8" s="66" t="s">
        <v>71</v>
      </c>
      <c r="O8" s="66" t="s">
        <v>72</v>
      </c>
      <c r="P8" s="66" t="s">
        <v>73</v>
      </c>
      <c r="Q8" s="66" t="s">
        <v>75</v>
      </c>
      <c r="R8" s="66" t="s">
        <v>76</v>
      </c>
      <c r="S8" s="66" t="s">
        <v>77</v>
      </c>
      <c r="T8" s="67" t="s">
        <v>78</v>
      </c>
      <c r="V8" s="65" t="s">
        <v>68</v>
      </c>
      <c r="W8" s="66" t="s">
        <v>79</v>
      </c>
      <c r="X8" s="66" t="s">
        <v>79</v>
      </c>
      <c r="Y8" s="66" t="s">
        <v>79</v>
      </c>
      <c r="Z8" s="66" t="s">
        <v>79</v>
      </c>
      <c r="AA8" s="66" t="s">
        <v>79</v>
      </c>
      <c r="AB8" s="66" t="s">
        <v>79</v>
      </c>
      <c r="AC8" s="66" t="s">
        <v>77</v>
      </c>
      <c r="AD8" s="67" t="s">
        <v>78</v>
      </c>
      <c r="AF8" s="65" t="s">
        <v>68</v>
      </c>
      <c r="AG8" s="66" t="s">
        <v>79</v>
      </c>
      <c r="AH8" s="66" t="s">
        <v>79</v>
      </c>
      <c r="AI8" s="66" t="s">
        <v>79</v>
      </c>
      <c r="AJ8" s="66" t="s">
        <v>79</v>
      </c>
      <c r="AK8" s="66" t="s">
        <v>79</v>
      </c>
      <c r="AL8" s="66" t="s">
        <v>79</v>
      </c>
      <c r="AM8" s="66" t="s">
        <v>77</v>
      </c>
      <c r="AN8" s="67" t="s">
        <v>78</v>
      </c>
    </row>
    <row r="9" spans="2:40" ht="15" customHeight="1" x14ac:dyDescent="0.25">
      <c r="B9" s="69">
        <f>IF(C9&lt;&gt;"",1,"")</f>
        <v>1</v>
      </c>
      <c r="C9" s="70">
        <v>22222221</v>
      </c>
      <c r="D9" s="91" t="s">
        <v>123</v>
      </c>
      <c r="E9" s="91" t="s">
        <v>124</v>
      </c>
      <c r="F9" s="91"/>
      <c r="G9" s="70" t="s">
        <v>24</v>
      </c>
      <c r="H9" s="70" t="s">
        <v>81</v>
      </c>
      <c r="I9" s="91" t="s">
        <v>81</v>
      </c>
      <c r="J9" s="71" t="s">
        <v>38</v>
      </c>
      <c r="L9" s="69"/>
      <c r="M9" s="70"/>
      <c r="N9" s="70"/>
      <c r="O9" s="70"/>
      <c r="P9" s="70"/>
      <c r="Q9" s="70"/>
      <c r="R9" s="70"/>
      <c r="S9" s="70"/>
      <c r="T9" s="71"/>
      <c r="V9" s="69"/>
      <c r="W9" s="70"/>
      <c r="X9" s="70"/>
      <c r="Y9" s="70"/>
      <c r="Z9" s="70"/>
      <c r="AA9" s="70"/>
      <c r="AB9" s="70"/>
      <c r="AC9" s="70"/>
      <c r="AD9" s="71"/>
      <c r="AF9" s="69"/>
      <c r="AG9" s="70"/>
      <c r="AH9" s="70"/>
      <c r="AI9" s="70"/>
      <c r="AJ9" s="70"/>
      <c r="AK9" s="70"/>
      <c r="AL9" s="70"/>
      <c r="AM9" s="70"/>
      <c r="AN9" s="71"/>
    </row>
    <row r="10" spans="2:40" ht="15" customHeight="1" x14ac:dyDescent="0.25">
      <c r="B10" s="72">
        <f>IF(C10&lt;&gt;"",MAX($B$9:$B9)+1,"")</f>
        <v>2</v>
      </c>
      <c r="C10" s="73">
        <v>22222222</v>
      </c>
      <c r="D10" s="74" t="s">
        <v>125</v>
      </c>
      <c r="E10" s="74" t="s">
        <v>126</v>
      </c>
      <c r="F10" s="74"/>
      <c r="G10" s="73" t="s">
        <v>26</v>
      </c>
      <c r="H10" s="73" t="s">
        <v>84</v>
      </c>
      <c r="I10" s="74" t="s">
        <v>84</v>
      </c>
      <c r="J10" s="75"/>
      <c r="L10" s="72"/>
      <c r="M10" s="73"/>
      <c r="N10" s="73"/>
      <c r="O10" s="73"/>
      <c r="P10" s="73"/>
      <c r="Q10" s="73"/>
      <c r="R10" s="73"/>
      <c r="S10" s="73"/>
      <c r="T10" s="75"/>
      <c r="V10" s="72"/>
      <c r="W10" s="73"/>
      <c r="X10" s="73"/>
      <c r="Y10" s="73"/>
      <c r="Z10" s="73"/>
      <c r="AA10" s="73"/>
      <c r="AB10" s="73"/>
      <c r="AC10" s="73"/>
      <c r="AD10" s="75"/>
      <c r="AF10" s="72"/>
      <c r="AG10" s="73"/>
      <c r="AH10" s="73"/>
      <c r="AI10" s="73"/>
      <c r="AJ10" s="73"/>
      <c r="AK10" s="73"/>
      <c r="AL10" s="73"/>
      <c r="AM10" s="73"/>
      <c r="AN10" s="75"/>
    </row>
    <row r="11" spans="2:40" ht="15" customHeight="1" x14ac:dyDescent="0.25">
      <c r="B11" s="72">
        <f>IF(C11&lt;&gt;"",MAX($B$9:$B10)+1,"")</f>
        <v>3</v>
      </c>
      <c r="C11" s="73">
        <v>22222223</v>
      </c>
      <c r="D11" s="74" t="s">
        <v>127</v>
      </c>
      <c r="E11" s="74" t="s">
        <v>128</v>
      </c>
      <c r="F11" s="74"/>
      <c r="G11" s="73" t="s">
        <v>26</v>
      </c>
      <c r="H11" s="73" t="s">
        <v>84</v>
      </c>
      <c r="I11" s="74" t="s">
        <v>84</v>
      </c>
      <c r="J11" s="75"/>
      <c r="L11" s="72"/>
      <c r="M11" s="73"/>
      <c r="N11" s="73"/>
      <c r="O11" s="73"/>
      <c r="P11" s="73"/>
      <c r="Q11" s="73"/>
      <c r="R11" s="73"/>
      <c r="S11" s="73"/>
      <c r="T11" s="75"/>
      <c r="V11" s="72"/>
      <c r="W11" s="73"/>
      <c r="X11" s="73"/>
      <c r="Y11" s="73"/>
      <c r="Z11" s="73"/>
      <c r="AA11" s="73"/>
      <c r="AB11" s="73"/>
      <c r="AC11" s="73"/>
      <c r="AD11" s="75"/>
      <c r="AF11" s="72"/>
      <c r="AG11" s="73"/>
      <c r="AH11" s="73"/>
      <c r="AI11" s="73"/>
      <c r="AJ11" s="73"/>
      <c r="AK11" s="73"/>
      <c r="AL11" s="73"/>
      <c r="AM11" s="73"/>
      <c r="AN11" s="75"/>
    </row>
    <row r="12" spans="2:40" ht="15" customHeight="1" thickBot="1" x14ac:dyDescent="0.3">
      <c r="B12" s="76"/>
      <c r="C12" s="77"/>
      <c r="D12" s="78"/>
      <c r="E12" s="78"/>
      <c r="F12" s="78"/>
      <c r="G12" s="77"/>
      <c r="H12" s="77"/>
      <c r="I12" s="78"/>
      <c r="J12" s="79"/>
      <c r="L12" s="76"/>
      <c r="M12" s="77"/>
      <c r="N12" s="77"/>
      <c r="O12" s="77"/>
      <c r="P12" s="77"/>
      <c r="Q12" s="77"/>
      <c r="R12" s="77"/>
      <c r="S12" s="77"/>
      <c r="T12" s="79"/>
      <c r="V12" s="76"/>
      <c r="W12" s="77"/>
      <c r="X12" s="77"/>
      <c r="Y12" s="77"/>
      <c r="Z12" s="77"/>
      <c r="AA12" s="77"/>
      <c r="AB12" s="77"/>
      <c r="AC12" s="77"/>
      <c r="AD12" s="79"/>
      <c r="AF12" s="76"/>
      <c r="AG12" s="77"/>
      <c r="AH12" s="77"/>
      <c r="AI12" s="77"/>
      <c r="AJ12" s="77"/>
      <c r="AK12" s="77"/>
      <c r="AL12" s="77"/>
      <c r="AM12" s="77"/>
      <c r="AN12" s="79"/>
    </row>
  </sheetData>
  <autoFilter ref="C8:AN8" xr:uid="{00000000-0009-0000-0000-00000A000000}"/>
  <mergeCells count="15">
    <mergeCell ref="V6:AD6"/>
    <mergeCell ref="W7:Z7"/>
    <mergeCell ref="AA7:AB7"/>
    <mergeCell ref="AC7:AD7"/>
    <mergeCell ref="AF6:AN6"/>
    <mergeCell ref="AG7:AJ7"/>
    <mergeCell ref="AK7:AL7"/>
    <mergeCell ref="AM7:AN7"/>
    <mergeCell ref="B1:C4"/>
    <mergeCell ref="D1:J2"/>
    <mergeCell ref="B6:I7"/>
    <mergeCell ref="L6:T6"/>
    <mergeCell ref="M7:P7"/>
    <mergeCell ref="Q7:R7"/>
    <mergeCell ref="S7:T7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117E7-9C8F-469A-AC8D-2A57C30E524A}">
  <sheetPr codeName="Tabelle12"/>
  <dimension ref="B1:H32"/>
  <sheetViews>
    <sheetView tabSelected="1" workbookViewId="0">
      <selection activeCell="F18" sqref="F18"/>
    </sheetView>
  </sheetViews>
  <sheetFormatPr baseColWidth="10" defaultColWidth="10.7109375" defaultRowHeight="18" customHeight="1" x14ac:dyDescent="0.25"/>
  <cols>
    <col min="1" max="1" width="0.85546875" style="137" customWidth="1"/>
    <col min="2" max="2" width="20.7109375" style="137" customWidth="1"/>
    <col min="3" max="4" width="10.7109375" style="137" hidden="1" customWidth="1"/>
    <col min="5" max="16384" width="10.7109375" style="137"/>
  </cols>
  <sheetData>
    <row r="1" spans="2:8" ht="32.1" customHeight="1" x14ac:dyDescent="0.25">
      <c r="B1" s="138" t="s">
        <v>140</v>
      </c>
    </row>
    <row r="2" spans="2:8" ht="5.0999999999999996" customHeight="1" x14ac:dyDescent="0.25"/>
    <row r="3" spans="2:8" ht="18" customHeight="1" x14ac:dyDescent="0.25">
      <c r="B3" s="137" t="s">
        <v>138</v>
      </c>
    </row>
    <row r="4" spans="2:8" ht="18" customHeight="1" thickBot="1" x14ac:dyDescent="0.3"/>
    <row r="5" spans="2:8" ht="18" customHeight="1" x14ac:dyDescent="0.25">
      <c r="B5" s="201" t="s">
        <v>142</v>
      </c>
      <c r="C5" s="146"/>
      <c r="D5" s="146"/>
      <c r="E5" s="139" t="s">
        <v>33</v>
      </c>
      <c r="F5" s="140" t="s">
        <v>31</v>
      </c>
      <c r="G5" s="141" t="s">
        <v>57</v>
      </c>
      <c r="H5" s="142" t="s">
        <v>90</v>
      </c>
    </row>
    <row r="6" spans="2:8" ht="18" hidden="1" customHeight="1" x14ac:dyDescent="0.25">
      <c r="B6" s="202"/>
      <c r="C6" s="147"/>
      <c r="D6" s="147"/>
      <c r="E6" s="135"/>
      <c r="F6" s="143" t="str">
        <f>"'"&amp;F$5&amp;"'!$L:$L"</f>
        <v>'Dir E Gef'!$L:$L</v>
      </c>
      <c r="G6" s="144" t="str">
        <f>"'"&amp;G$5&amp;"'!$L:$L"</f>
        <v>'Dir E WSP'!$L:$L</v>
      </c>
      <c r="H6" s="145" t="str">
        <f>"'"&amp;H$5&amp;"'!$L:$L"</f>
        <v>'Dir E ZOS'!$L:$L</v>
      </c>
    </row>
    <row r="7" spans="2:8" ht="18" hidden="1" customHeight="1" x14ac:dyDescent="0.25">
      <c r="B7" s="202"/>
      <c r="C7" s="147"/>
      <c r="D7" s="147"/>
      <c r="E7" s="135"/>
      <c r="F7" s="143" t="str">
        <f>"'"&amp;F$5&amp;"'!$T:$T"</f>
        <v>'Dir E Gef'!$T:$T</v>
      </c>
      <c r="G7" s="144" t="str">
        <f>"'"&amp;G$5&amp;"'!$T:$T"</f>
        <v>'Dir E WSP'!$T:$T</v>
      </c>
      <c r="H7" s="145" t="str">
        <f>"'"&amp;H$5&amp;"'!$T:$T"</f>
        <v>'Dir E ZOS'!$T:$T</v>
      </c>
    </row>
    <row r="8" spans="2:8" ht="18" hidden="1" customHeight="1" x14ac:dyDescent="0.25">
      <c r="B8" s="202"/>
      <c r="C8" s="147"/>
      <c r="D8" s="147"/>
      <c r="E8" s="135"/>
      <c r="F8" s="143" t="str">
        <f>"'"&amp;F$5&amp;"'!$V:$V"</f>
        <v>'Dir E Gef'!$V:$V</v>
      </c>
      <c r="G8" s="144" t="str">
        <f>"'"&amp;G$5&amp;"'!$V:$V"</f>
        <v>'Dir E WSP'!$V:$V</v>
      </c>
      <c r="H8" s="145" t="str">
        <f>"'"&amp;H$5&amp;"'!$V:$V"</f>
        <v>'Dir E ZOS'!$V:$V</v>
      </c>
    </row>
    <row r="9" spans="2:8" ht="18" hidden="1" customHeight="1" x14ac:dyDescent="0.25">
      <c r="B9" s="202"/>
      <c r="C9" s="147"/>
      <c r="D9" s="147"/>
      <c r="E9" s="135"/>
      <c r="F9" s="143" t="str">
        <f>"'"&amp;F$5&amp;"'!$AD:$AD"</f>
        <v>'Dir E Gef'!$AD:$AD</v>
      </c>
      <c r="G9" s="144" t="str">
        <f>"'"&amp;G$5&amp;"'!$AD:$AD"</f>
        <v>'Dir E WSP'!$AD:$AD</v>
      </c>
      <c r="H9" s="145" t="str">
        <f>"'"&amp;H$5&amp;"'!$AD:$AD"</f>
        <v>'Dir E ZOS'!$AD:$AD</v>
      </c>
    </row>
    <row r="10" spans="2:8" ht="18" hidden="1" customHeight="1" x14ac:dyDescent="0.25">
      <c r="B10" s="202"/>
      <c r="C10" s="147"/>
      <c r="D10" s="147"/>
      <c r="E10" s="135"/>
      <c r="F10" s="143" t="str">
        <f>"'"&amp;F$5&amp;"'!$AF:$AF"</f>
        <v>'Dir E Gef'!$AF:$AF</v>
      </c>
      <c r="G10" s="144" t="str">
        <f>"'"&amp;G$5&amp;"'!$AF:$AF"</f>
        <v>'Dir E WSP'!$AF:$AF</v>
      </c>
      <c r="H10" s="145" t="str">
        <f>"'"&amp;H$5&amp;"'!$AF:$AF"</f>
        <v>'Dir E ZOS'!$AF:$AF</v>
      </c>
    </row>
    <row r="11" spans="2:8" ht="18" hidden="1" customHeight="1" x14ac:dyDescent="0.25">
      <c r="B11" s="202"/>
      <c r="C11" s="147"/>
      <c r="D11" s="147"/>
      <c r="E11" s="135"/>
      <c r="F11" s="143" t="str">
        <f>"'"&amp;F$5&amp;"'!$AN:$AN"</f>
        <v>'Dir E Gef'!$AN:$AN</v>
      </c>
      <c r="G11" s="144" t="str">
        <f>"'"&amp;G$5&amp;"'!$AN:$AN"</f>
        <v>'Dir E WSP'!$AN:$AN</v>
      </c>
      <c r="H11" s="145" t="str">
        <f>"'"&amp;H$5&amp;"'!$AN:$AN"</f>
        <v>'Dir E ZOS'!$AN:$AN</v>
      </c>
    </row>
    <row r="12" spans="2:8" ht="18" customHeight="1" x14ac:dyDescent="0.25">
      <c r="B12" s="202"/>
      <c r="C12" s="147"/>
      <c r="D12" s="147"/>
      <c r="E12" s="135" t="s">
        <v>139</v>
      </c>
      <c r="F12" s="143"/>
      <c r="G12" s="144"/>
      <c r="H12" s="145"/>
    </row>
    <row r="13" spans="2:8" ht="18" customHeight="1" x14ac:dyDescent="0.25">
      <c r="B13" s="202" t="s">
        <v>91</v>
      </c>
      <c r="C13" s="148">
        <v>42736</v>
      </c>
      <c r="D13" s="148">
        <v>42825</v>
      </c>
      <c r="E13" s="135" t="s">
        <v>45</v>
      </c>
      <c r="F13" s="143">
        <f t="shared" ref="F13:H15" ca="1" si="0">COUNTIFS(INDIRECT(F$7),$E13,INDIRECT(F$6),"&lt;="&amp;$D13,INDIRECT(F$6),"&gt;="&amp;$C13)</f>
        <v>0</v>
      </c>
      <c r="G13" s="144">
        <f t="shared" ca="1" si="0"/>
        <v>0</v>
      </c>
      <c r="H13" s="145">
        <f t="shared" ca="1" si="0"/>
        <v>0</v>
      </c>
    </row>
    <row r="14" spans="2:8" ht="18" customHeight="1" x14ac:dyDescent="0.25">
      <c r="B14" s="202"/>
      <c r="C14" s="148">
        <v>42736</v>
      </c>
      <c r="D14" s="148">
        <v>42825</v>
      </c>
      <c r="E14" s="135" t="s">
        <v>32</v>
      </c>
      <c r="F14" s="143">
        <f t="shared" ca="1" si="0"/>
        <v>1</v>
      </c>
      <c r="G14" s="144">
        <f t="shared" ca="1" si="0"/>
        <v>0</v>
      </c>
      <c r="H14" s="145">
        <f t="shared" ca="1" si="0"/>
        <v>0</v>
      </c>
    </row>
    <row r="15" spans="2:8" ht="18" customHeight="1" x14ac:dyDescent="0.25">
      <c r="B15" s="202"/>
      <c r="C15" s="148">
        <v>42736</v>
      </c>
      <c r="D15" s="148">
        <v>42825</v>
      </c>
      <c r="E15" s="135" t="s">
        <v>53</v>
      </c>
      <c r="F15" s="143">
        <f t="shared" ca="1" si="0"/>
        <v>0</v>
      </c>
      <c r="G15" s="144">
        <f t="shared" ca="1" si="0"/>
        <v>0</v>
      </c>
      <c r="H15" s="145">
        <f t="shared" ca="1" si="0"/>
        <v>0</v>
      </c>
    </row>
    <row r="16" spans="2:8" ht="18" customHeight="1" x14ac:dyDescent="0.25">
      <c r="B16" s="202"/>
      <c r="C16" s="147"/>
      <c r="D16" s="147"/>
      <c r="E16" s="135" t="s">
        <v>43</v>
      </c>
      <c r="F16" s="143">
        <f t="shared" ref="F16:H16" ca="1" si="1">SUM(F13:F15)</f>
        <v>1</v>
      </c>
      <c r="G16" s="144">
        <f t="shared" ca="1" si="1"/>
        <v>0</v>
      </c>
      <c r="H16" s="145">
        <f t="shared" ca="1" si="1"/>
        <v>0</v>
      </c>
    </row>
    <row r="17" spans="2:8" ht="18" customHeight="1" x14ac:dyDescent="0.25">
      <c r="B17" s="202"/>
      <c r="C17" s="147"/>
      <c r="D17" s="147"/>
      <c r="E17" s="135" t="s">
        <v>44</v>
      </c>
      <c r="F17" s="204">
        <f t="shared" ref="F17:H17" ca="1" si="2">IF(F16&lt;&gt;0,F$12/F16,0)</f>
        <v>0</v>
      </c>
      <c r="G17" s="205">
        <f t="shared" ca="1" si="2"/>
        <v>0</v>
      </c>
      <c r="H17" s="206">
        <f t="shared" ca="1" si="2"/>
        <v>0</v>
      </c>
    </row>
    <row r="18" spans="2:8" ht="18" customHeight="1" x14ac:dyDescent="0.25">
      <c r="B18" s="202" t="s">
        <v>92</v>
      </c>
      <c r="C18" s="148">
        <v>42826</v>
      </c>
      <c r="D18" s="148">
        <v>42916</v>
      </c>
      <c r="E18" s="135" t="s">
        <v>45</v>
      </c>
      <c r="F18" s="143">
        <f t="shared" ref="F18:H20" ca="1" si="3">COUNTIFS(INDIRECT(F$7),$E18,INDIRECT(F$6),"&lt;="&amp;$D18,INDIRECT(F$6),"&gt;="&amp;$C18)</f>
        <v>0</v>
      </c>
      <c r="G18" s="144">
        <f t="shared" ca="1" si="3"/>
        <v>0</v>
      </c>
      <c r="H18" s="145">
        <f t="shared" ca="1" si="3"/>
        <v>0</v>
      </c>
    </row>
    <row r="19" spans="2:8" ht="18" customHeight="1" x14ac:dyDescent="0.25">
      <c r="B19" s="202"/>
      <c r="C19" s="148">
        <v>42826</v>
      </c>
      <c r="D19" s="148">
        <v>42916</v>
      </c>
      <c r="E19" s="135" t="s">
        <v>32</v>
      </c>
      <c r="F19" s="143">
        <f t="shared" ca="1" si="3"/>
        <v>0</v>
      </c>
      <c r="G19" s="144">
        <f t="shared" ca="1" si="3"/>
        <v>0</v>
      </c>
      <c r="H19" s="145">
        <f t="shared" ca="1" si="3"/>
        <v>0</v>
      </c>
    </row>
    <row r="20" spans="2:8" ht="18" customHeight="1" x14ac:dyDescent="0.25">
      <c r="B20" s="202"/>
      <c r="C20" s="148">
        <v>42826</v>
      </c>
      <c r="D20" s="148">
        <v>42916</v>
      </c>
      <c r="E20" s="135" t="s">
        <v>53</v>
      </c>
      <c r="F20" s="143">
        <f t="shared" ca="1" si="3"/>
        <v>0</v>
      </c>
      <c r="G20" s="144">
        <f t="shared" ca="1" si="3"/>
        <v>0</v>
      </c>
      <c r="H20" s="145">
        <f t="shared" ca="1" si="3"/>
        <v>0</v>
      </c>
    </row>
    <row r="21" spans="2:8" ht="18" customHeight="1" x14ac:dyDescent="0.25">
      <c r="B21" s="202"/>
      <c r="C21" s="147"/>
      <c r="D21" s="147"/>
      <c r="E21" s="135" t="s">
        <v>43</v>
      </c>
      <c r="F21" s="143">
        <f t="shared" ref="F21:H21" ca="1" si="4">SUM(F18:F20)</f>
        <v>0</v>
      </c>
      <c r="G21" s="144">
        <f t="shared" ca="1" si="4"/>
        <v>0</v>
      </c>
      <c r="H21" s="145">
        <f t="shared" ca="1" si="4"/>
        <v>0</v>
      </c>
    </row>
    <row r="22" spans="2:8" ht="18" customHeight="1" x14ac:dyDescent="0.25">
      <c r="B22" s="202"/>
      <c r="C22" s="147"/>
      <c r="D22" s="147"/>
      <c r="E22" s="135" t="s">
        <v>44</v>
      </c>
      <c r="F22" s="204">
        <f t="shared" ref="F22:H22" ca="1" si="5">IF(F21&lt;&gt;0,F$12/F21,0)</f>
        <v>0</v>
      </c>
      <c r="G22" s="205">
        <f t="shared" ca="1" si="5"/>
        <v>0</v>
      </c>
      <c r="H22" s="206">
        <f t="shared" ca="1" si="5"/>
        <v>0</v>
      </c>
    </row>
    <row r="23" spans="2:8" ht="18" customHeight="1" x14ac:dyDescent="0.25">
      <c r="B23" s="202" t="s">
        <v>93</v>
      </c>
      <c r="C23" s="148">
        <v>42917</v>
      </c>
      <c r="D23" s="148">
        <v>43008</v>
      </c>
      <c r="E23" s="135" t="s">
        <v>45</v>
      </c>
      <c r="F23" s="143">
        <f t="shared" ref="F23:H25" ca="1" si="6">COUNTIFS(INDIRECT(F$7),$E23,INDIRECT(F$6),"&lt;="&amp;$D23,INDIRECT(F$6),"&gt;="&amp;$C23)</f>
        <v>1</v>
      </c>
      <c r="G23" s="144">
        <f t="shared" ca="1" si="6"/>
        <v>0</v>
      </c>
      <c r="H23" s="145">
        <f t="shared" ca="1" si="6"/>
        <v>0</v>
      </c>
    </row>
    <row r="24" spans="2:8" ht="18" customHeight="1" x14ac:dyDescent="0.25">
      <c r="B24" s="202"/>
      <c r="C24" s="148">
        <v>42917</v>
      </c>
      <c r="D24" s="148">
        <v>43008</v>
      </c>
      <c r="E24" s="135" t="s">
        <v>32</v>
      </c>
      <c r="F24" s="143">
        <f t="shared" ca="1" si="6"/>
        <v>0</v>
      </c>
      <c r="G24" s="144">
        <f t="shared" ca="1" si="6"/>
        <v>0</v>
      </c>
      <c r="H24" s="145">
        <f t="shared" ca="1" si="6"/>
        <v>0</v>
      </c>
    </row>
    <row r="25" spans="2:8" ht="18" customHeight="1" x14ac:dyDescent="0.25">
      <c r="B25" s="202"/>
      <c r="C25" s="148">
        <v>42917</v>
      </c>
      <c r="D25" s="148">
        <v>43008</v>
      </c>
      <c r="E25" s="135" t="s">
        <v>53</v>
      </c>
      <c r="F25" s="143">
        <f t="shared" ca="1" si="6"/>
        <v>0</v>
      </c>
      <c r="G25" s="144">
        <f t="shared" ca="1" si="6"/>
        <v>0</v>
      </c>
      <c r="H25" s="145">
        <f t="shared" ca="1" si="6"/>
        <v>0</v>
      </c>
    </row>
    <row r="26" spans="2:8" ht="18" customHeight="1" x14ac:dyDescent="0.25">
      <c r="B26" s="202"/>
      <c r="C26" s="147"/>
      <c r="D26" s="147"/>
      <c r="E26" s="135" t="s">
        <v>43</v>
      </c>
      <c r="F26" s="143">
        <f t="shared" ref="F26:H26" ca="1" si="7">SUM(F23:F25)</f>
        <v>1</v>
      </c>
      <c r="G26" s="144">
        <f t="shared" ca="1" si="7"/>
        <v>0</v>
      </c>
      <c r="H26" s="145">
        <f t="shared" ca="1" si="7"/>
        <v>0</v>
      </c>
    </row>
    <row r="27" spans="2:8" ht="18" customHeight="1" x14ac:dyDescent="0.25">
      <c r="B27" s="202"/>
      <c r="C27" s="147"/>
      <c r="D27" s="147"/>
      <c r="E27" s="135" t="s">
        <v>44</v>
      </c>
      <c r="F27" s="204">
        <f t="shared" ref="F27:H27" ca="1" si="8">IF(F26&lt;&gt;0,F$12/F26,0)</f>
        <v>0</v>
      </c>
      <c r="G27" s="205">
        <f t="shared" ca="1" si="8"/>
        <v>0</v>
      </c>
      <c r="H27" s="206">
        <f t="shared" ca="1" si="8"/>
        <v>0</v>
      </c>
    </row>
    <row r="28" spans="2:8" ht="18" customHeight="1" x14ac:dyDescent="0.25">
      <c r="B28" s="202" t="s">
        <v>141</v>
      </c>
      <c r="C28" s="148">
        <v>43009</v>
      </c>
      <c r="D28" s="148">
        <v>43100</v>
      </c>
      <c r="E28" s="135" t="s">
        <v>45</v>
      </c>
      <c r="F28" s="143">
        <f t="shared" ref="F28:H30" ca="1" si="9">COUNTIFS(INDIRECT(F$7),$E28,INDIRECT(F$6),"&lt;="&amp;$D28,INDIRECT(F$6),"&gt;="&amp;$C28)</f>
        <v>0</v>
      </c>
      <c r="G28" s="144">
        <f t="shared" ca="1" si="9"/>
        <v>0</v>
      </c>
      <c r="H28" s="145">
        <f t="shared" ca="1" si="9"/>
        <v>0</v>
      </c>
    </row>
    <row r="29" spans="2:8" ht="18" customHeight="1" x14ac:dyDescent="0.25">
      <c r="B29" s="202"/>
      <c r="C29" s="148">
        <v>43009</v>
      </c>
      <c r="D29" s="148">
        <v>43100</v>
      </c>
      <c r="E29" s="135" t="s">
        <v>32</v>
      </c>
      <c r="F29" s="143">
        <f t="shared" ca="1" si="9"/>
        <v>0</v>
      </c>
      <c r="G29" s="144">
        <f t="shared" ca="1" si="9"/>
        <v>0</v>
      </c>
      <c r="H29" s="145">
        <f t="shared" ca="1" si="9"/>
        <v>0</v>
      </c>
    </row>
    <row r="30" spans="2:8" ht="18" customHeight="1" x14ac:dyDescent="0.25">
      <c r="B30" s="202"/>
      <c r="C30" s="148">
        <v>43009</v>
      </c>
      <c r="D30" s="148">
        <v>43100</v>
      </c>
      <c r="E30" s="135" t="s">
        <v>53</v>
      </c>
      <c r="F30" s="143">
        <f t="shared" ca="1" si="9"/>
        <v>0</v>
      </c>
      <c r="G30" s="144">
        <f t="shared" ca="1" si="9"/>
        <v>0</v>
      </c>
      <c r="H30" s="145">
        <f t="shared" ca="1" si="9"/>
        <v>0</v>
      </c>
    </row>
    <row r="31" spans="2:8" ht="18" customHeight="1" x14ac:dyDescent="0.25">
      <c r="B31" s="202"/>
      <c r="C31" s="147"/>
      <c r="D31" s="147"/>
      <c r="E31" s="135" t="s">
        <v>43</v>
      </c>
      <c r="F31" s="143">
        <f t="shared" ref="F31:H31" ca="1" si="10">SUM(F28:F30)</f>
        <v>0</v>
      </c>
      <c r="G31" s="144">
        <f t="shared" ca="1" si="10"/>
        <v>0</v>
      </c>
      <c r="H31" s="145">
        <f t="shared" ca="1" si="10"/>
        <v>0</v>
      </c>
    </row>
    <row r="32" spans="2:8" ht="18" customHeight="1" thickBot="1" x14ac:dyDescent="0.3">
      <c r="B32" s="203"/>
      <c r="C32" s="149"/>
      <c r="D32" s="149"/>
      <c r="E32" s="136" t="s">
        <v>44</v>
      </c>
      <c r="F32" s="207">
        <f t="shared" ref="F32:H32" ca="1" si="11">IF(F31&lt;&gt;0,F$12/F31,0)</f>
        <v>0</v>
      </c>
      <c r="G32" s="208">
        <f t="shared" ca="1" si="11"/>
        <v>0</v>
      </c>
      <c r="H32" s="209">
        <f t="shared" ca="1" si="11"/>
        <v>0</v>
      </c>
    </row>
  </sheetData>
  <mergeCells count="5">
    <mergeCell ref="B5:B12"/>
    <mergeCell ref="B13:B17"/>
    <mergeCell ref="B18:B22"/>
    <mergeCell ref="B23:B27"/>
    <mergeCell ref="B28:B32"/>
  </mergeCells>
  <pageMargins left="0.7" right="0.7" top="0.78740157499999996" bottom="0.78740157499999996" header="0.3" footer="0.3"/>
  <pageSetup paperSize="9" orientation="portrait" r:id="rId1"/>
</worksheet>
</file>

<file path=customUI/customUI.xml><?xml version="1.0" encoding="utf-8"?>
<customUI xmlns="http://schemas.microsoft.com/office/2006/01/customui">
  <ribbon>
    <tabs>
      <tab id="TabDPL" label="ET - Schießergebnisse" insertBeforeMso="TabHome">
        <group id="Reg" label="Import">
          <button id="ET1" onAction="M_home" label="Startseite" imageMso="OpenStartPage" size="large"/>
          <splitButton id="SB1" size="large">
            <button id="DO1" label="Dokumente erstellen" imageMso="TableOfContentsDialog"/>
            <menu id="DO2" itemSize="large">
              <button id="DO3" onAction="M_doc_peronal" label="Personalliste erstellen" imageMso="TableOfContentsDialog"/>
              <button id="DO4" onAction="M_doc_schiessen" label="Schießnachweis erstellen" imageMso="TableOfContentsDialog"/>
            </menu>
          </splitButton>
          <splitButton id="SB2" size="large">
            <button id="IE1" label="Import" imageMso="ImportExcel"/>
            <menu id="IE2" itemSize="large">
              <button id="IE3" onAction="M_ss_hinzu" label="Schießnachweis hinzufügen" imageMso="PivotTableLayoutSubtotals"/>
              <button id="IE4" onAction="M_pers_hinzu" label="Personalliste hinzufügen" imageMso="DistributionListUpdateMembers"/>
              <button id="IE5" onAction="M_pers_suchen" label="Person suchen" imageMso="ZoomPrintPreviewExcel"/>
            </menu>
          </splitButton>
        </group>
        <group id="Aus" label="Auswertungen">
          <splitButton id="AUSSB1" size="large">
            <button id="AUSTB1" onAction="M_zielgruppen_aktualisieren" label="Zielgruppen" imageMso="SourceControlRefreshStatus"/>
            <menu id="AUSM1" itemSize="large">
              <button id="AUSTB2" onAction="M_zielgruppen_aktualisieren" label="Auswertung aktualisieren" imageMso="SourceControlRefreshStatus"/>
              <button id="AUSTB3" onAction="M_zielgruppen_neu_erstellen" label="Auswertung neu erstellen" imageMso="SourceControlRun"/>
            </menu>
          </splitButton>
          <splitButton id="AUSSB2" size="large">
            <button id="AUSTB4" onAction="M_hinweise_aktualisieren" label="Hinweise" imageMso="SourceControlRefreshStatus"/>
            <menu id="AUSM2" itemSize="large">
              <button id="AUSTB5" onAction="M_hinweise_aktualisieren" label="Auswertung aktualisieren" imageMso="SourceControlRefreshStatus"/>
              <button id="AUSTB6" onAction="M_hinweise_neu_erstellen" label="Auswertung neu erstellen" imageMso="SourceControlRun"/>
            </menu>
          </splitButton>
          <splitButton id="AUSSB3" size="large">
            <button id="AUSTB7" onAction="M_schiessabschnitt_aktualisieren" label="Schießabschnitt" imageMso="SourceControlRefreshStatus"/>
            <menu id="AUSM3" itemSize="large">
              <button id="AUSTB8" onAction="M_schiessabschnitt_aktualisieren" label="Auswertung aktualisieren" imageMso="SourceControlRefreshStatus"/>
              <button id="AUSTB9" onAction="M_schiessabschnitt_neu_erstellen" label="Auswertung neu erstellen" imageMso="SourceControlRun"/>
            </menu>
          </splitButton>
          <splitButton id="AUSSB5" size="large">
            <button id="AUSTB13" onAction="M_ldire_aktualisieren" label="Auswertung L Dir E" imageMso="SourceControlRefreshStatus"/>
            <menu id="AUSM5" itemSize="large">
              <button id="AUSTB14" onAction="M_ldire_aktualisieren" label="Auswertung aktualisieren" imageMso="SourceControlRefreshStatus"/>
              <button id="AUSTB15" onAction="M_ldire_neu_erstellen" label="Auswertung neu erstellen" imageMso="SourceControlRun"/>
            </menu>
          </splitButton>
          <splitButton id="AUSSB4" size="large">
            <button id="AUSTB10" onAction="M_monatl_aktualisieren" label="monatl. Vorbereitung" imageMso="SourceControlRefreshStatus"/>
            <menu id="AUSM4" itemSize="large">
              <button id="AUSTB11" onAction="M_monatl_aktualisieren" label="Auswertung aktualisieren" imageMso="SourceControlRefreshStatus"/>
              <button id="AUSTB12" onAction="M_monatl_neu_erstellen" label="Auswertung neu erstellen" imageMso="SourceControlRun"/>
            </menu>
          </splitButton>
          <splitButton id="AUSSB6" size="large">
            <button id="AUSTB16" onAction="M_jahreserfassung_aktualisieren" label="Jahreserfassung Dir E" imageMso="SourceControlRefreshStatus"/>
            <menu id="AUSM6" itemSize="large">
              <button id="AUSTB17" onAction="M_jahreserfassung_aktualisieren" label="Auswertung aktualisieren" imageMso="SourceControlRefreshStatus"/>
              <button id="AUSTB18" onAction="M_jahreserfassung_neu_erstellen" label="Auswertung neu erstellen" imageMso="SourceControlRun"/>
            </menu>
          </splitButton>
        </group>
      </tab>
    </tabs>
  </ribbon>
</customUI>
</file>

<file path=customUI/customUI14.xml><?xml version="1.0" encoding="utf-8"?>
<customUI xmlns="http://schemas.microsoft.com/office/2006/01/customui">
  <ribbon>
    <tabs>
      <tab id="TabDPL" label="ET - Schießergebnisse" insertBeforeMso="TabHome">
        <group id="Reg" label="Import">
          <button id="ET1" onAction="M_home" label="Startseite" imageMso="OpenStartPage" size="large"/>
          <splitButton id="SB1" size="large">
            <button id="DO1" label="Dokumente erstellen" imageMso="TableOfContentsDialog"/>
            <menu id="DO2" itemSize="large">
              <button id="DO3" onAction="M_doc_peronal" label="Personalliste erstellen" imageMso="TableOfContentsDialog"/>
              <button id="DO4" onAction="M_doc_schiessen" label="Schießnachweis erstellen" imageMso="TableOfContentsDialog"/>
            </menu>
          </splitButton>
          <splitButton id="SB2" size="large">
            <button id="IE1" label="Import" imageMso="ImportExcel"/>
            <menu id="IE2" itemSize="large">
              <button id="IE3" onAction="M_ss_hinzu" label="Schießnachweis hinzufügen" imageMso="PivotTableLayoutSubtotals"/>
              <button id="IE4" onAction="M_pers_hinzu" label="Personalliste hinzufügen" imageMso="DistributionListUpdateMembers"/>
              <button id="IE5" onAction="M_pers_suchen" label="Person suchen" imageMso="ZoomPrintPreviewExcel"/>
            </menu>
          </splitButton>
        </group>
        <group id="Exp" label="Export">
          <button id="ET2" onAction="M_home" label="Startseite" imageMso="OpenStartPage" size="large"/>
        </group>
        <group id="Aus" label="Auswertungen">
          <splitButton id="AUSSB1" size="large">
            <button id="AUSTB1" onAction="M_zielgruppen_aktualisieren" label="Zielgruppen" imageMso="SourceControlRefreshStatus"/>
            <menu id="AUSM1" itemSize="large">
              <button id="AUSTB2" onAction="M_zielgruppen_aktualisieren" label="Auswertung aktualisieren" imageMso="SourceControlRefreshStatus"/>
              <button id="AUSTB3" onAction="M_zielgruppen_neu_erstellen" label="Auswertung neu erstellen" imageMso="SourceControlRun"/>
            </menu>
          </splitButton>
          <splitButton id="AUSSB2" size="large">
            <button id="AUSTB4" onAction="M_hinweise_aktualisieren" label="Hinweise" imageMso="SourceControlRefreshStatus"/>
            <menu id="AUSM2" itemSize="large">
              <button id="AUSTB5" onAction="M_hinweise_aktualisieren" label="Auswertung aktualisieren" imageMso="SourceControlRefreshStatus"/>
              <button id="AUSTB6" onAction="M_hinweise_neu_erstellen" label="Auswertung neu erstellen" imageMso="SourceControlRun"/>
            </menu>
          </splitButton>
          <splitButton id="AUSSB3" size="large">
            <button id="AUSTB7" onAction="M_schiessabschnitt_aktualisieren" label="Schießabschnitt" imageMso="SourceControlRefreshStatus"/>
            <menu id="AUSM3" itemSize="large">
              <button id="AUSTB8" onAction="M_schiessabschnitt_aktualisieren" label="Auswertung aktualisieren" imageMso="SourceControlRefreshStatus"/>
              <button id="AUSTB9" onAction="M_schiessabschnitt_neu_erstellen" label="Auswertung neu erstellen" imageMso="SourceControlRun"/>
            </menu>
          </splitButton>
          <splitButton id="AUSSB5" size="large">
            <button id="AUSTB13" onAction="M_ldire_aktualisieren" label="Auswertung L Dir E" imageMso="SourceControlRefreshStatus"/>
            <menu id="AUSM5" itemSize="large">
              <button id="AUSTB14" onAction="M_ldire_aktualisieren" label="Auswertung aktualisieren" imageMso="SourceControlRefreshStatus"/>
              <button id="AUSTB15" onAction="M_ldire_neu_erstellen" label="Auswertung neu erstellen" imageMso="SourceControlRun"/>
            </menu>
          </splitButton>
          <splitButton id="AUSSB4" size="large">
            <button id="AUSTB10" onAction="M_monatl_aktualisieren" label="monatl. Vorbereitung" imageMso="SourceControlRefreshStatus"/>
            <menu id="AUSM4" itemSize="large">
              <button id="AUSTB11" onAction="M_monatl_aktualisieren" label="Auswertung aktualisieren" imageMso="SourceControlRefreshStatus"/>
              <button id="AUSTB12" onAction="M_monatl_neu_erstellen" label="Auswertung neu erstellen" imageMso="SourceControlRun"/>
            </menu>
          </splitButton>
          <splitButton id="AUSSB6" size="large">
            <button id="AUSTB16" onAction="M_jahreserfassung_aktualisieren" label="Jahreserfassung Dir E" imageMso="SourceControlRefreshStatus"/>
            <menu id="AUSM6" itemSize="large">
              <button id="AUSTB17" onAction="M_jahreserfassung_aktualisieren" label="Auswertung aktualisieren" imageMso="SourceControlRefreshStatus"/>
              <button id="AUSTB18" onAction="M_jahreserfassung_neu_erstellen" label="Auswertung neu erstellen" imageMso="SourceControlRun"/>
            </menu>
          </splitButto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Info</vt:lpstr>
      <vt:lpstr>Dir E - Meldung L Dir</vt:lpstr>
      <vt:lpstr>Katalog</vt:lpstr>
      <vt:lpstr>Dir E - Jahreserfassung</vt:lpstr>
      <vt:lpstr>Dir E - Zielgruppen</vt:lpstr>
      <vt:lpstr>Dir E - Schießen</vt:lpstr>
      <vt:lpstr>Dir E - MuschVO, adV, etc.</vt:lpstr>
      <vt:lpstr>Dir E - monatl. Vorbereitung</vt:lpstr>
      <vt:lpstr>Dir E Gef</vt:lpstr>
      <vt:lpstr>Dir E WSP</vt:lpstr>
      <vt:lpstr>Dir E ZOS</vt:lpstr>
      <vt:lpstr>Dir E - Meldung an L Dir</vt:lpstr>
    </vt:vector>
  </TitlesOfParts>
  <Company>PolPräs Berlin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Huschenhöfer, Christoph</dc:creator>
  <cp:lastModifiedBy>Chris Hu</cp:lastModifiedBy>
  <cp:lastPrinted>2017-10-30T12:47:22Z</cp:lastPrinted>
  <dcterms:created xsi:type="dcterms:W3CDTF">2016-03-03T10:46:30Z</dcterms:created>
  <dcterms:modified xsi:type="dcterms:W3CDTF">2017-11-13T15:20:15Z</dcterms:modified>
</cp:coreProperties>
</file>